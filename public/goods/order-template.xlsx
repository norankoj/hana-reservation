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주문 요약" sheetId="1" r:id="rId4"/>
    <sheet state="visible" name="개인별 주문" sheetId="2" r:id="rId5"/>
    <sheet state="visible" name="상품표" sheetId="3" r:id="rId6"/>
  </sheets>
  <definedNames/>
  <calcPr/>
  <extLst>
    <ext uri="GoogleSheetsCustomDataVersion2">
      <go:sheetsCustomData xmlns:go="http://customooxmlschemas.google.com/" r:id="rId7" roundtripDataChecksum="ZS7Y0nKrZB+4AtY2LaAtPvghG0uIhU+yZGTquhk/kCY="/>
    </ext>
  </extLst>
</workbook>
</file>

<file path=xl/sharedStrings.xml><?xml version="1.0" encoding="utf-8"?>
<sst xmlns="http://schemas.openxmlformats.org/spreadsheetml/2006/main" count="136" uniqueCount="109">
  <si>
    <t>JOSHUA GENERATION · PROMISED LAND JAPAN IN OITA</t>
  </si>
  <si>
    <t>개인별 주문 입력</t>
  </si>
  <si>
    <t>공동체 단체 주문서</t>
  </si>
  <si>
    <r>
      <rPr>
        <rFont val="Noto Sans CJK SC"/>
        <b/>
        <color theme="1"/>
        <sz val="13.0"/>
      </rPr>
      <t xml:space="preserve">상품표 </t>
    </r>
    <r>
      <rPr>
        <rFont val="Arial"/>
        <b/>
        <color theme="1"/>
        <sz val="13.0"/>
      </rPr>
      <t xml:space="preserve">· </t>
    </r>
    <r>
      <rPr>
        <rFont val="Noto Sans CJK SC"/>
        <b/>
        <color theme="1"/>
        <sz val="13.0"/>
      </rPr>
      <t xml:space="preserve">할인 설정 </t>
    </r>
    <r>
      <rPr>
        <rFont val="Arial"/>
        <b/>
        <color theme="1"/>
        <sz val="13.0"/>
      </rPr>
      <t>(</t>
    </r>
    <r>
      <rPr>
        <rFont val="Noto Sans CJK SC"/>
        <b/>
        <color theme="1"/>
        <sz val="13.0"/>
      </rPr>
      <t>스탭용</t>
    </r>
    <r>
      <rPr>
        <rFont val="Arial"/>
        <b/>
        <color theme="1"/>
        <sz val="13.0"/>
      </rPr>
      <t>)</t>
    </r>
  </si>
  <si>
    <t>작성 방법  ① 노란 칸만 입력, 한 줄에 상품 하나씩 (한 사람이 여러 개 사면 여러 줄로)  ② 상품을 고르면 필요 없는 칸은 회색, 꼭 입력할 칸은 주황색으로 바뀜 → 의류는 사이즈(파란 머리글), 올인원 세트는 반다나·바쿠백·키링(초록 머리글)만 선택  ③ 단체 사전주문은 전 제품 10% 할인가가 자동 적용  ④ 「확인」 칸이 OK가 아니면 빨간 글씨 안내대로 수정</t>
  </si>
  <si>
    <t>상품</t>
  </si>
  <si>
    <r>
      <rPr>
        <rFont val="Noto Sans CJK SC"/>
        <color rgb="FF595959"/>
        <sz val="9.0"/>
      </rPr>
      <t>작성 순서  ① 아래 노란 칸에 공동체 정보 입력  ② 「개인별 주문」 시트에 주문 입력  ③ 수량</t>
    </r>
    <r>
      <rPr>
        <rFont val="Arial"/>
        <color rgb="FF595959"/>
        <sz val="9.0"/>
      </rPr>
      <t>·</t>
    </r>
    <r>
      <rPr>
        <rFont val="Noto Sans CJK SC"/>
        <color rgb="FF595959"/>
        <sz val="9.0"/>
      </rPr>
      <t>금액은 자동 계산됨 → 「입력 확인」이 ✓인지 확인 후 파일 그대로 회신</t>
    </r>
  </si>
  <si>
    <t>의류만</t>
  </si>
  <si>
    <t>분류</t>
  </si>
  <si>
    <r>
      <rPr>
        <rFont val="Noto Sans CJK SC"/>
        <b/>
        <color rgb="FFFFFFFF"/>
        <sz val="11.0"/>
      </rPr>
      <t>정가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원</t>
    </r>
    <r>
      <rPr>
        <rFont val="Arial"/>
        <b/>
        <color rgb="FFFFFFFF"/>
        <sz val="11.0"/>
      </rPr>
      <t>)</t>
    </r>
  </si>
  <si>
    <t>사전구매가(원)</t>
  </si>
  <si>
    <t>올인원 세트만</t>
  </si>
  <si>
    <t>공동체 정보</t>
  </si>
  <si>
    <t>공동체명</t>
  </si>
  <si>
    <t>담당자 이름</t>
  </si>
  <si>
    <t>담당자 연락처</t>
  </si>
  <si>
    <t>예시</t>
  </si>
  <si>
    <r>
      <rPr>
        <rFont val="Noto Sans CJK SC"/>
        <color theme="1"/>
        <sz val="11.0"/>
      </rPr>
      <t xml:space="preserve">후드집업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그레이</t>
    </r>
  </si>
  <si>
    <t>홍길동</t>
  </si>
  <si>
    <t>올인원 세트</t>
  </si>
  <si>
    <t>레드 웨이브</t>
  </si>
  <si>
    <t>화이트</t>
  </si>
  <si>
    <r>
      <rPr>
        <rFont val="Noto Sans CJK SC"/>
        <b/>
        <color theme="1"/>
        <sz val="11.0"/>
      </rPr>
      <t xml:space="preserve">받는 분 </t>
    </r>
    <r>
      <rPr>
        <rFont val="Arial"/>
        <b/>
        <color theme="1"/>
        <sz val="11.0"/>
      </rPr>
      <t>(</t>
    </r>
    <r>
      <rPr>
        <rFont val="Noto Sans CJK SC"/>
        <b/>
        <color theme="1"/>
        <sz val="11.0"/>
      </rPr>
      <t>배송</t>
    </r>
    <r>
      <rPr>
        <rFont val="Arial"/>
        <b/>
        <color theme="1"/>
        <sz val="11.0"/>
      </rPr>
      <t>)</t>
    </r>
  </si>
  <si>
    <t>의류</t>
  </si>
  <si>
    <t>배송지 주소</t>
  </si>
  <si>
    <r>
      <rPr>
        <rFont val="Arial"/>
        <i/>
        <color rgb="FF808080"/>
        <sz val="9.0"/>
      </rPr>
      <t xml:space="preserve">1 </t>
    </r>
    <r>
      <rPr>
        <rFont val="Noto Sans CJK SC"/>
        <i/>
        <color rgb="FF808080"/>
        <sz val="9.0"/>
      </rPr>
      <t>스탬프</t>
    </r>
  </si>
  <si>
    <t>입금자명</t>
  </si>
  <si>
    <t>입금 예정일</t>
  </si>
  <si>
    <t>OK</t>
  </si>
  <si>
    <t>결제 요약</t>
  </si>
  <si>
    <t>정가 기준 합계</t>
  </si>
  <si>
    <r>
      <rPr>
        <rFont val="Noto Sans CJK SC"/>
        <i/>
        <color rgb="FF808080"/>
        <sz val="9.0"/>
      </rPr>
      <t xml:space="preserve">예시 줄 </t>
    </r>
    <r>
      <rPr>
        <rFont val="Arial"/>
        <i/>
        <color rgb="FF808080"/>
        <sz val="9.0"/>
      </rPr>
      <t>(</t>
    </r>
    <r>
      <rPr>
        <rFont val="Noto Sans CJK SC"/>
        <i/>
        <color rgb="FF808080"/>
        <sz val="9.0"/>
      </rPr>
      <t>합계에 안 들어감</t>
    </r>
    <r>
      <rPr>
        <rFont val="Arial"/>
        <i/>
        <color rgb="FF808080"/>
        <sz val="9.0"/>
      </rPr>
      <t>)</t>
    </r>
  </si>
  <si>
    <t>No</t>
  </si>
  <si>
    <t>이름</t>
  </si>
  <si>
    <t>사전구매 할인율</t>
  </si>
  <si>
    <r>
      <rPr>
        <rFont val="Noto Sans CJK SC"/>
        <b/>
        <color rgb="FFFFFFFF"/>
        <sz val="11.0"/>
      </rPr>
      <t xml:space="preserve">사이즈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의류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</si>
  <si>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>세트</t>
    </r>
    <r>
      <rPr>
        <rFont val="Arial"/>
        <b/>
        <color rgb="FFFFFFFF"/>
        <sz val="11.0"/>
      </rPr>
      <t xml:space="preserve">: </t>
    </r>
    <r>
      <rPr>
        <rFont val="Noto Sans CJK SC"/>
        <b/>
        <color rgb="FFFFFFFF"/>
        <sz val="11.0"/>
      </rPr>
      <t>반다나</t>
    </r>
  </si>
  <si>
    <t>사전구매 할인액 (10%)</t>
  </si>
  <si>
    <r>
      <rPr>
        <rFont val="Noto Sans CJK SC"/>
        <color theme="1"/>
        <sz val="11.0"/>
      </rPr>
      <t xml:space="preserve">후드집업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블랙</t>
    </r>
  </si>
  <si>
    <r>
      <rPr>
        <rFont val="Noto Sans CJK SC"/>
        <b/>
        <color rgb="FFFFFFFF"/>
        <sz val="11.0"/>
      </rPr>
      <t>세트</t>
    </r>
    <r>
      <rPr>
        <rFont val="Arial"/>
        <b/>
        <color rgb="FFFFFFFF"/>
        <sz val="11.0"/>
      </rPr>
      <t xml:space="preserve">: </t>
    </r>
    <r>
      <rPr>
        <rFont val="Noto Sans CJK SC"/>
        <b/>
        <color rgb="FFFFFFFF"/>
        <sz val="11.0"/>
      </rPr>
      <t>바쿠백</t>
    </r>
  </si>
  <si>
    <r>
      <rPr>
        <rFont val="Noto Sans CJK SC"/>
        <color theme="1"/>
        <sz val="11.0"/>
      </rPr>
      <t xml:space="preserve">그래픽 티셔츠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블랙</t>
    </r>
  </si>
  <si>
    <r>
      <rPr>
        <rFont val="Noto Sans CJK SC"/>
        <b/>
        <color rgb="FFFFFFFF"/>
        <sz val="11.0"/>
      </rPr>
      <t>세트</t>
    </r>
    <r>
      <rPr>
        <rFont val="Arial"/>
        <b/>
        <color rgb="FFFFFFFF"/>
        <sz val="11.0"/>
      </rPr>
      <t xml:space="preserve">: </t>
    </r>
    <r>
      <rPr>
        <rFont val="Noto Sans CJK SC"/>
        <b/>
        <color rgb="FFFFFFFF"/>
        <sz val="11.0"/>
      </rPr>
      <t>키링</t>
    </r>
  </si>
  <si>
    <t>올인원 세트 구성</t>
  </si>
  <si>
    <t>수량</t>
  </si>
  <si>
    <t>정가 단가</t>
  </si>
  <si>
    <t>할인 단가(10%)</t>
  </si>
  <si>
    <t>금액</t>
  </si>
  <si>
    <t>확인</t>
  </si>
  <si>
    <t>메모</t>
  </si>
  <si>
    <r>
      <rPr>
        <rFont val="Noto Sans CJK SC"/>
        <color theme="1"/>
        <sz val="11.0"/>
      </rPr>
      <t xml:space="preserve">그래픽 티셔츠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화이트</t>
    </r>
  </si>
  <si>
    <r>
      <rPr>
        <rFont val="Noto Sans CJK SC"/>
        <b/>
        <color rgb="FFFFFFFF"/>
        <sz val="11.0"/>
      </rPr>
      <t xml:space="preserve">스탭 확인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명단 대조</t>
    </r>
    <r>
      <rPr>
        <rFont val="Arial"/>
        <b/>
        <color rgb="FFFFFFFF"/>
        <sz val="11.0"/>
      </rPr>
      <t>)</t>
    </r>
  </si>
  <si>
    <r>
      <rPr>
        <rFont val="Arial"/>
        <color rgb="FF404040"/>
        <sz val="9.0"/>
      </rPr>
      <t xml:space="preserve">· </t>
    </r>
    <r>
      <rPr>
        <rFont val="Noto Sans CJK SC"/>
        <color rgb="FF404040"/>
        <sz val="9.0"/>
      </rPr>
      <t xml:space="preserve">반다나 </t>
    </r>
    <r>
      <rPr>
        <rFont val="Arial"/>
        <color rgb="FF404040"/>
        <sz val="9.0"/>
      </rPr>
      <t>1 (</t>
    </r>
    <r>
      <rPr>
        <rFont val="Noto Sans CJK SC"/>
        <color rgb="FF404040"/>
        <sz val="9.0"/>
      </rPr>
      <t xml:space="preserve">레드 웨이브 </t>
    </r>
    <r>
      <rPr>
        <rFont val="Arial"/>
        <color rgb="FF404040"/>
        <sz val="9.0"/>
      </rPr>
      <t xml:space="preserve">/ </t>
    </r>
    <r>
      <rPr>
        <rFont val="Noto Sans CJK SC"/>
        <color rgb="FF404040"/>
        <sz val="9.0"/>
      </rPr>
      <t>블랙 스탬프 중 택</t>
    </r>
    <r>
      <rPr>
        <rFont val="Arial"/>
        <color rgb="FF404040"/>
        <sz val="9.0"/>
      </rPr>
      <t>1)</t>
    </r>
  </si>
  <si>
    <t>총 입금액 (10% 할인 적용)</t>
  </si>
  <si>
    <r>
      <rPr>
        <rFont val="Noto Sans CJK SC"/>
        <color theme="1"/>
        <sz val="11.0"/>
      </rPr>
      <t xml:space="preserve">손수건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레드 웨이브</t>
    </r>
  </si>
  <si>
    <t>잡화</t>
  </si>
  <si>
    <r>
      <rPr>
        <rFont val="Arial"/>
        <color rgb="FF404040"/>
        <sz val="9.0"/>
      </rPr>
      <t xml:space="preserve">· </t>
    </r>
    <r>
      <rPr>
        <rFont val="Noto Sans CJK SC"/>
        <color rgb="FF404040"/>
        <sz val="9.0"/>
      </rPr>
      <t xml:space="preserve">바쿠백 </t>
    </r>
    <r>
      <rPr>
        <rFont val="Arial"/>
        <color rgb="FF404040"/>
        <sz val="9.0"/>
      </rPr>
      <t>1 (</t>
    </r>
    <r>
      <rPr>
        <rFont val="Noto Sans CJK SC"/>
        <color rgb="FF404040"/>
        <sz val="9.0"/>
      </rPr>
      <t xml:space="preserve">블랙 </t>
    </r>
    <r>
      <rPr>
        <rFont val="Arial"/>
        <color rgb="FF404040"/>
        <sz val="9.0"/>
      </rPr>
      <t xml:space="preserve">/ </t>
    </r>
    <r>
      <rPr>
        <rFont val="Noto Sans CJK SC"/>
        <color rgb="FF404040"/>
        <sz val="9.0"/>
      </rPr>
      <t>화이트 중 택</t>
    </r>
    <r>
      <rPr>
        <rFont val="Arial"/>
        <color rgb="FF404040"/>
        <sz val="9.0"/>
      </rPr>
      <t>1)</t>
    </r>
  </si>
  <si>
    <r>
      <rPr>
        <rFont val="Noto Sans CJK SC"/>
        <color theme="1"/>
        <sz val="11.0"/>
      </rPr>
      <t xml:space="preserve">손수건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블랙 스탬프</t>
    </r>
  </si>
  <si>
    <t>입력 확인</t>
  </si>
  <si>
    <r>
      <rPr>
        <rFont val="Arial"/>
        <color rgb="FF404040"/>
        <sz val="9.0"/>
      </rPr>
      <t xml:space="preserve">· </t>
    </r>
    <r>
      <rPr>
        <rFont val="Noto Sans CJK SC"/>
        <color rgb="FF404040"/>
        <sz val="9.0"/>
      </rPr>
      <t xml:space="preserve">키링 </t>
    </r>
    <r>
      <rPr>
        <rFont val="Arial"/>
        <color rgb="FF404040"/>
        <sz val="9.0"/>
      </rPr>
      <t xml:space="preserve">1 (1 </t>
    </r>
    <r>
      <rPr>
        <rFont val="Noto Sans CJK SC"/>
        <color rgb="FF404040"/>
        <sz val="9.0"/>
      </rPr>
      <t xml:space="preserve">스탬프 </t>
    </r>
    <r>
      <rPr>
        <rFont val="Arial"/>
        <color rgb="FF404040"/>
        <sz val="9.0"/>
      </rPr>
      <t xml:space="preserve">/ 2 </t>
    </r>
    <r>
      <rPr>
        <rFont val="Noto Sans CJK SC"/>
        <color rgb="FF404040"/>
        <sz val="9.0"/>
      </rPr>
      <t>십자가 중 택</t>
    </r>
    <r>
      <rPr>
        <rFont val="Arial"/>
        <color rgb="FF404040"/>
        <sz val="9.0"/>
      </rPr>
      <t>1)</t>
    </r>
  </si>
  <si>
    <r>
      <rPr>
        <rFont val="Noto Sans CJK SC"/>
        <color theme="1"/>
        <sz val="11.0"/>
      </rPr>
      <t xml:space="preserve">바쿠백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블랙</t>
    </r>
  </si>
  <si>
    <r>
      <rPr>
        <rFont val="Arial"/>
        <color rgb="FF404040"/>
        <sz val="9.0"/>
      </rPr>
      <t xml:space="preserve">· </t>
    </r>
    <r>
      <rPr>
        <rFont val="Noto Sans CJK SC"/>
        <color rgb="FF404040"/>
        <sz val="9.0"/>
      </rPr>
      <t xml:space="preserve">핑거보드 키링 </t>
    </r>
    <r>
      <rPr>
        <rFont val="Arial"/>
        <color rgb="FF404040"/>
        <sz val="9.0"/>
      </rPr>
      <t>1</t>
    </r>
  </si>
  <si>
    <r>
      <rPr>
        <rFont val="Noto Sans CJK SC"/>
        <color theme="1"/>
        <sz val="11.0"/>
      </rPr>
      <t xml:space="preserve">바쿠백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화이트</t>
    </r>
  </si>
  <si>
    <r>
      <rPr>
        <rFont val="Arial"/>
        <color rgb="FF404040"/>
        <sz val="9.0"/>
      </rPr>
      <t xml:space="preserve">· </t>
    </r>
    <r>
      <rPr>
        <rFont val="Noto Sans CJK SC"/>
        <color rgb="FF404040"/>
        <sz val="9.0"/>
      </rPr>
      <t xml:space="preserve">스티커팩 </t>
    </r>
    <r>
      <rPr>
        <rFont val="Arial"/>
        <color rgb="FF404040"/>
        <sz val="9.0"/>
      </rPr>
      <t>1</t>
    </r>
  </si>
  <si>
    <t>핑거보드 키링</t>
  </si>
  <si>
    <t>소품</t>
  </si>
  <si>
    <r>
      <rPr>
        <rFont val="Arial"/>
        <color rgb="FF404040"/>
        <sz val="9.0"/>
      </rPr>
      <t xml:space="preserve">· </t>
    </r>
    <r>
      <rPr>
        <rFont val="Noto Sans CJK SC"/>
        <color rgb="FF404040"/>
        <sz val="9.0"/>
      </rPr>
      <t xml:space="preserve">정가 합계 </t>
    </r>
    <r>
      <rPr>
        <rFont val="Arial"/>
        <color rgb="FF404040"/>
        <sz val="9.0"/>
      </rPr>
      <t>34,000</t>
    </r>
    <r>
      <rPr>
        <rFont val="Noto Sans CJK SC"/>
        <color rgb="FF404040"/>
        <sz val="9.0"/>
      </rPr>
      <t xml:space="preserve">원 </t>
    </r>
    <r>
      <rPr>
        <rFont val="Arial"/>
        <color rgb="FF404040"/>
        <sz val="9.0"/>
      </rPr>
      <t xml:space="preserve">/ </t>
    </r>
    <r>
      <rPr>
        <rFont val="Noto Sans CJK SC"/>
        <color rgb="FF404040"/>
        <sz val="9.0"/>
      </rPr>
      <t xml:space="preserve">세트가는 </t>
    </r>
    <r>
      <rPr>
        <rFont val="Arial"/>
        <color rgb="FF404040"/>
        <sz val="9.0"/>
      </rPr>
      <t xml:space="preserve">C18 </t>
    </r>
    <r>
      <rPr>
        <rFont val="Noto Sans CJK SC"/>
        <color rgb="FF404040"/>
        <sz val="9.0"/>
      </rPr>
      <t>칸에서 수정</t>
    </r>
  </si>
  <si>
    <r>
      <rPr>
        <rFont val="Noto Sans CJK SC"/>
        <color theme="1"/>
        <sz val="11.0"/>
      </rPr>
      <t xml:space="preserve">키링 </t>
    </r>
    <r>
      <rPr>
        <rFont val="Arial"/>
        <color theme="1"/>
        <sz val="11.0"/>
      </rPr>
      <t xml:space="preserve">1 - </t>
    </r>
    <r>
      <rPr>
        <rFont val="Noto Sans CJK SC"/>
        <color theme="1"/>
        <sz val="11.0"/>
      </rPr>
      <t>스탬프</t>
    </r>
  </si>
  <si>
    <r>
      <rPr>
        <rFont val="Noto Sans CJK SC"/>
        <color theme="1"/>
        <sz val="11.0"/>
      </rPr>
      <t xml:space="preserve">키링 </t>
    </r>
    <r>
      <rPr>
        <rFont val="Arial"/>
        <color theme="1"/>
        <sz val="11.0"/>
      </rPr>
      <t xml:space="preserve">2 - </t>
    </r>
    <r>
      <rPr>
        <rFont val="Noto Sans CJK SC"/>
        <color theme="1"/>
        <sz val="11.0"/>
      </rPr>
      <t>십자가</t>
    </r>
  </si>
  <si>
    <r>
      <rPr>
        <rFont val="Noto Sans CJK SC"/>
        <b/>
        <color theme="1"/>
        <sz val="12.0"/>
      </rPr>
      <t xml:space="preserve">의류 </t>
    </r>
    <r>
      <rPr>
        <rFont val="Arial"/>
        <b/>
        <color theme="1"/>
        <sz val="12.0"/>
      </rPr>
      <t>(</t>
    </r>
    <r>
      <rPr>
        <rFont val="Noto Sans CJK SC"/>
        <b/>
        <color theme="1"/>
        <sz val="12.0"/>
      </rPr>
      <t>사이즈별 수량</t>
    </r>
    <r>
      <rPr>
        <rFont val="Arial"/>
        <b/>
        <color theme="1"/>
        <sz val="12.0"/>
      </rPr>
      <t>)</t>
    </r>
  </si>
  <si>
    <r>
      <rPr>
        <rFont val="Noto Sans CJK SC"/>
        <color theme="1"/>
        <sz val="11.0"/>
      </rPr>
      <t xml:space="preserve">네임택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블랙 스탬프</t>
    </r>
  </si>
  <si>
    <t>XXS</t>
  </si>
  <si>
    <t>XS</t>
  </si>
  <si>
    <t>S</t>
  </si>
  <si>
    <t>M</t>
  </si>
  <si>
    <r>
      <rPr>
        <rFont val="Noto Sans CJK SC"/>
        <color theme="1"/>
        <sz val="11.0"/>
      </rPr>
      <t xml:space="preserve">네임택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웨이브</t>
    </r>
  </si>
  <si>
    <t>L</t>
  </si>
  <si>
    <t>XL</t>
  </si>
  <si>
    <t>스티커팩</t>
  </si>
  <si>
    <t>2XL</t>
  </si>
  <si>
    <t>3XL</t>
  </si>
  <si>
    <t>세트</t>
  </si>
  <si>
    <r>
      <rPr>
        <rFont val="Noto Sans CJK SC"/>
        <color theme="1"/>
        <sz val="11.0"/>
      </rPr>
      <t xml:space="preserve">후드집업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그레이</t>
    </r>
  </si>
  <si>
    <t>-</t>
  </si>
  <si>
    <t>※ 노란 칸(세트가, 사전구매 할인율) 수정 시 주문서 단가 전체에 반영  /  할인 순서: 정가(세트는 세트가) → 사전구매 10% 할인</t>
  </si>
  <si>
    <r>
      <rPr>
        <rFont val="Noto Sans CJK SC"/>
        <color theme="1"/>
        <sz val="11.0"/>
      </rPr>
      <t xml:space="preserve">후드집업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블랙</t>
    </r>
  </si>
  <si>
    <r>
      <rPr>
        <rFont val="Noto Sans CJK SC"/>
        <color theme="1"/>
        <sz val="11.0"/>
      </rPr>
      <t xml:space="preserve">그래픽 티셔츠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블랙</t>
    </r>
  </si>
  <si>
    <r>
      <rPr>
        <rFont val="Noto Sans CJK SC"/>
        <color theme="1"/>
        <sz val="11.0"/>
      </rPr>
      <t xml:space="preserve">그래픽 티셔츠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화이트</t>
    </r>
  </si>
  <si>
    <r>
      <rPr>
        <rFont val="Noto Sans CJK SC"/>
        <b/>
        <color theme="1"/>
        <sz val="12.0"/>
      </rPr>
      <t xml:space="preserve">굿즈 </t>
    </r>
    <r>
      <rPr>
        <rFont val="Arial"/>
        <b/>
        <color theme="1"/>
        <sz val="12.0"/>
      </rPr>
      <t xml:space="preserve">· </t>
    </r>
    <r>
      <rPr>
        <rFont val="Noto Sans CJK SC"/>
        <b/>
        <color theme="1"/>
        <sz val="12.0"/>
      </rPr>
      <t>올인원 세트</t>
    </r>
  </si>
  <si>
    <r>
      <rPr>
        <rFont val="Noto Sans CJK SC"/>
        <color theme="1"/>
        <sz val="11.0"/>
      </rPr>
      <t xml:space="preserve">손수건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레드 웨이브</t>
    </r>
  </si>
  <si>
    <r>
      <rPr>
        <rFont val="Noto Sans CJK SC"/>
        <color theme="1"/>
        <sz val="11.0"/>
      </rPr>
      <t xml:space="preserve">손수건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블랙 스탬프</t>
    </r>
  </si>
  <si>
    <r>
      <rPr>
        <rFont val="Noto Sans CJK SC"/>
        <color theme="1"/>
        <sz val="11.0"/>
      </rPr>
      <t xml:space="preserve">바쿠백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블랙</t>
    </r>
  </si>
  <si>
    <r>
      <rPr>
        <rFont val="Noto Sans CJK SC"/>
        <color theme="1"/>
        <sz val="11.0"/>
      </rPr>
      <t xml:space="preserve">바쿠백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화이트</t>
    </r>
  </si>
  <si>
    <r>
      <rPr>
        <rFont val="Noto Sans CJK SC"/>
        <color theme="1"/>
        <sz val="11.0"/>
      </rPr>
      <t xml:space="preserve">키링 </t>
    </r>
    <r>
      <rPr>
        <rFont val="Arial"/>
        <color theme="1"/>
        <sz val="11.0"/>
      </rPr>
      <t xml:space="preserve">1 - </t>
    </r>
    <r>
      <rPr>
        <rFont val="Noto Sans CJK SC"/>
        <color theme="1"/>
        <sz val="11.0"/>
      </rPr>
      <t>스탬프</t>
    </r>
  </si>
  <si>
    <r>
      <rPr>
        <rFont val="Noto Sans CJK SC"/>
        <color theme="1"/>
        <sz val="11.0"/>
      </rPr>
      <t xml:space="preserve">키링 </t>
    </r>
    <r>
      <rPr>
        <rFont val="Arial"/>
        <color theme="1"/>
        <sz val="11.0"/>
      </rPr>
      <t xml:space="preserve">2 - </t>
    </r>
    <r>
      <rPr>
        <rFont val="Noto Sans CJK SC"/>
        <color theme="1"/>
        <sz val="11.0"/>
      </rPr>
      <t>십자가</t>
    </r>
  </si>
  <si>
    <r>
      <rPr>
        <rFont val="Noto Sans CJK SC"/>
        <color theme="1"/>
        <sz val="11.0"/>
      </rPr>
      <t xml:space="preserve">네임택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블랙 스탬프</t>
    </r>
  </si>
  <si>
    <r>
      <rPr>
        <rFont val="Noto Sans CJK SC"/>
        <color theme="1"/>
        <sz val="11.0"/>
      </rPr>
      <t xml:space="preserve">네임택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웨이브</t>
    </r>
  </si>
  <si>
    <t>합계</t>
  </si>
  <si>
    <r>
      <rPr>
        <rFont val="Noto Sans CJK SC"/>
        <b/>
        <color theme="1"/>
        <sz val="12.0"/>
      </rPr>
      <t xml:space="preserve">디자인별 필요 수량 </t>
    </r>
    <r>
      <rPr>
        <rFont val="Arial"/>
        <b/>
        <color theme="1"/>
        <sz val="12.0"/>
      </rPr>
      <t>(</t>
    </r>
    <r>
      <rPr>
        <rFont val="Noto Sans CJK SC"/>
        <b/>
        <color theme="1"/>
        <sz val="12.0"/>
      </rPr>
      <t xml:space="preserve">낱개 </t>
    </r>
    <r>
      <rPr>
        <rFont val="Arial"/>
        <b/>
        <color theme="1"/>
        <sz val="12.0"/>
      </rPr>
      <t xml:space="preserve">+ </t>
    </r>
    <r>
      <rPr>
        <rFont val="Noto Sans CJK SC"/>
        <b/>
        <color theme="1"/>
        <sz val="12.0"/>
      </rPr>
      <t>세트 구성품</t>
    </r>
    <r>
      <rPr>
        <rFont val="Arial"/>
        <b/>
        <color theme="1"/>
        <sz val="12.0"/>
      </rPr>
      <t xml:space="preserve">) — </t>
    </r>
    <r>
      <rPr>
        <rFont val="Noto Sans CJK SC"/>
        <b/>
        <color theme="1"/>
        <sz val="12.0"/>
      </rPr>
      <t>포장</t>
    </r>
    <r>
      <rPr>
        <rFont val="Arial"/>
        <b/>
        <color theme="1"/>
        <sz val="12.0"/>
      </rPr>
      <t>·</t>
    </r>
    <r>
      <rPr>
        <rFont val="Noto Sans CJK SC"/>
        <b/>
        <color theme="1"/>
        <sz val="12.0"/>
      </rPr>
      <t>발주용</t>
    </r>
  </si>
  <si>
    <t>디자인</t>
  </si>
  <si>
    <t>낱개 주문</t>
  </si>
  <si>
    <t>세트 구성품</t>
  </si>
  <si>
    <t>필요 수량</t>
  </si>
  <si>
    <r>
      <rPr>
        <rFont val="Noto Sans CJK SC"/>
        <color theme="1"/>
        <sz val="11.0"/>
      </rPr>
      <t xml:space="preserve">손수건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레드 웨이브</t>
    </r>
  </si>
  <si>
    <r>
      <rPr>
        <rFont val="Noto Sans CJK SC"/>
        <color theme="1"/>
        <sz val="11.0"/>
      </rPr>
      <t xml:space="preserve">손수건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블랙 스탬프</t>
    </r>
  </si>
  <si>
    <r>
      <rPr>
        <rFont val="Noto Sans CJK SC"/>
        <color theme="1"/>
        <sz val="11.0"/>
      </rPr>
      <t xml:space="preserve">바쿠백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블랙</t>
    </r>
  </si>
  <si>
    <r>
      <rPr>
        <rFont val="Noto Sans CJK SC"/>
        <color theme="1"/>
        <sz val="11.0"/>
      </rPr>
      <t xml:space="preserve">바쿠백 </t>
    </r>
    <r>
      <rPr>
        <rFont val="Arial"/>
        <color theme="1"/>
        <sz val="11.0"/>
      </rPr>
      <t xml:space="preserve">- </t>
    </r>
    <r>
      <rPr>
        <rFont val="Noto Sans CJK SC"/>
        <color theme="1"/>
        <sz val="11.0"/>
      </rPr>
      <t>화이트</t>
    </r>
  </si>
  <si>
    <r>
      <rPr>
        <rFont val="Noto Sans CJK SC"/>
        <color theme="1"/>
        <sz val="11.0"/>
      </rPr>
      <t xml:space="preserve">키링 </t>
    </r>
    <r>
      <rPr>
        <rFont val="Arial"/>
        <color theme="1"/>
        <sz val="11.0"/>
      </rPr>
      <t xml:space="preserve">1 - </t>
    </r>
    <r>
      <rPr>
        <rFont val="Noto Sans CJK SC"/>
        <color theme="1"/>
        <sz val="11.0"/>
      </rPr>
      <t>스탬프</t>
    </r>
  </si>
  <si>
    <r>
      <rPr>
        <rFont val="Noto Sans CJK SC"/>
        <color theme="1"/>
        <sz val="11.0"/>
      </rPr>
      <t xml:space="preserve">키링 </t>
    </r>
    <r>
      <rPr>
        <rFont val="Arial"/>
        <color theme="1"/>
        <sz val="11.0"/>
      </rPr>
      <t xml:space="preserve">2 - </t>
    </r>
    <r>
      <rPr>
        <rFont val="Noto Sans CJK SC"/>
        <color theme="1"/>
        <sz val="11.0"/>
      </rPr>
      <t>십자가</t>
    </r>
  </si>
  <si>
    <r>
      <rPr>
        <rFont val="Noto Sans CJK SC"/>
        <color rgb="FF808080"/>
        <sz val="9.0"/>
      </rPr>
      <t xml:space="preserve">※ 세트 구성품까지 디자인별로 합친 실제 필요 수량 </t>
    </r>
    <r>
      <rPr>
        <rFont val="Arial"/>
        <color rgb="FF808080"/>
        <sz val="9.0"/>
      </rPr>
      <t>(</t>
    </r>
    <r>
      <rPr>
        <rFont val="Noto Sans CJK SC"/>
        <color rgb="FF808080"/>
        <sz val="9.0"/>
      </rPr>
      <t>의류</t>
    </r>
    <r>
      <rPr>
        <rFont val="Arial"/>
        <color rgb="FF808080"/>
        <sz val="9.0"/>
      </rPr>
      <t>·</t>
    </r>
    <r>
      <rPr>
        <rFont val="Noto Sans CJK SC"/>
        <color rgb="FF808080"/>
        <sz val="9.0"/>
      </rPr>
      <t>네임택은 위 표 수량과 같음</t>
    </r>
    <r>
      <rPr>
        <rFont val="Arial"/>
        <color rgb="FF808080"/>
        <sz val="9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</si>
</sst>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\-0;&quot;&quot;"/>
  </numFmts>
  <fonts count="24">
    <font>
      <sz val="11.0"/>
      <color theme="1"/>
      <name val="Calibri"/>
      <scheme val="minor"/>
    </font>
    <font>
      <b/>
      <sz val="10.0"/>
      <color rgb="FFC8161D"/>
      <name val="Arial"/>
    </font>
    <font>
      <b/>
      <sz val="14.0"/>
      <color theme="1"/>
      <name val="Noto Sans"/>
    </font>
    <font>
      <b/>
      <sz val="13.0"/>
      <color theme="1"/>
      <name val="Noto Sans"/>
    </font>
    <font>
      <b/>
      <sz val="18.0"/>
      <color theme="1"/>
      <name val="Noto Sans"/>
    </font>
    <font>
      <sz val="9.0"/>
      <color rgb="FF595959"/>
      <name val="Noto Sans"/>
    </font>
    <font>
      <b/>
      <sz val="11.0"/>
      <color rgb="FFFFFFFF"/>
      <name val="Noto Sans"/>
    </font>
    <font>
      <b/>
      <sz val="9.0"/>
      <color rgb="FFFFFFFF"/>
      <name val="Noto Sans"/>
    </font>
    <font/>
    <font>
      <b/>
      <sz val="12.0"/>
      <color theme="1"/>
      <name val="Noto Sans"/>
    </font>
    <font>
      <b/>
      <sz val="11.0"/>
      <color theme="1"/>
      <name val="Noto Sans"/>
    </font>
    <font>
      <sz val="11.0"/>
      <color theme="1"/>
      <name val="Calibri"/>
    </font>
    <font>
      <i/>
      <sz val="9.0"/>
      <color rgb="FF808080"/>
      <name val="Noto Sans"/>
    </font>
    <font>
      <sz val="11.0"/>
      <color theme="1"/>
      <name val="Noto Sans"/>
    </font>
    <font>
      <sz val="11.0"/>
      <color theme="1"/>
      <name val="Arial"/>
    </font>
    <font>
      <i/>
      <sz val="9.0"/>
      <color rgb="FF808080"/>
      <name val="Arial"/>
    </font>
    <font>
      <b/>
      <sz val="11.0"/>
      <color rgb="FFFFFFFF"/>
      <name val="Arial"/>
    </font>
    <font>
      <b/>
      <sz val="11.0"/>
      <color rgb="FF0000FF"/>
      <name val="Arial"/>
    </font>
    <font>
      <b/>
      <sz val="11.0"/>
      <color theme="1"/>
      <name val="Arial"/>
    </font>
    <font>
      <sz val="9.0"/>
      <color rgb="FF404040"/>
      <name val="Arial"/>
    </font>
    <font>
      <b/>
      <sz val="13.0"/>
      <color rgb="FFC8161D"/>
      <name val="Arial"/>
    </font>
    <font>
      <b/>
      <sz val="11.0"/>
      <color rgb="FFC8161D"/>
      <name val="Noto Sans"/>
    </font>
    <font>
      <sz val="9.0"/>
      <color rgb="FF808080"/>
      <name val="Noto Sans"/>
    </font>
    <font>
      <sz val="9.0"/>
      <color rgb="FF008000"/>
      <name val="Noto Sans"/>
    </font>
  </fonts>
  <fills count="10">
    <fill>
      <patternFill patternType="none"/>
    </fill>
    <fill>
      <patternFill patternType="lightGray"/>
    </fill>
    <fill>
      <patternFill patternType="solid">
        <fgColor rgb="FFC8161D"/>
        <bgColor rgb="FFC8161D"/>
      </patternFill>
    </fill>
    <fill>
      <patternFill patternType="solid">
        <fgColor rgb="FF1F4E78"/>
        <bgColor rgb="FF1F4E78"/>
      </patternFill>
    </fill>
    <fill>
      <patternFill patternType="solid">
        <fgColor rgb="FF375623"/>
        <bgColor rgb="FF375623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FBE5E6"/>
        <bgColor rgb="FFFBE5E6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3" fillId="4" fontId="7" numFmtId="0" xfId="0" applyAlignment="1" applyBorder="1" applyFill="1" applyFont="1">
      <alignment horizontal="center" shrinkToFit="0" vertical="center" wrapText="1"/>
    </xf>
    <xf borderId="4" fillId="0" fontId="8" numFmtId="0" xfId="0" applyBorder="1" applyFont="1"/>
    <xf borderId="0" fillId="0" fontId="9" numFmtId="0" xfId="0" applyAlignment="1" applyFont="1">
      <alignment shrinkToFit="0" vertical="bottom" wrapText="0"/>
    </xf>
    <xf borderId="5" fillId="5" fontId="10" numFmtId="0" xfId="0" applyAlignment="1" applyBorder="1" applyFill="1" applyFont="1">
      <alignment horizontal="center" shrinkToFit="0" vertical="center" wrapText="1"/>
    </xf>
    <xf borderId="6" fillId="0" fontId="8" numFmtId="0" xfId="0" applyBorder="1" applyFont="1"/>
    <xf borderId="5" fillId="6" fontId="11" numFmtId="0" xfId="0" applyAlignment="1" applyBorder="1" applyFill="1" applyFont="1">
      <alignment shrinkToFit="0" vertical="bottom" wrapText="0"/>
    </xf>
    <xf borderId="7" fillId="0" fontId="8" numFmtId="0" xfId="0" applyBorder="1" applyFont="1"/>
    <xf borderId="1" fillId="2" fontId="6" numFmtId="0" xfId="0" applyAlignment="1" applyBorder="1" applyFill="1" applyFont="1">
      <alignment horizontal="center" readingOrder="0" shrinkToFit="0" vertical="center" wrapText="1"/>
    </xf>
    <xf borderId="8" fillId="0" fontId="8" numFmtId="0" xfId="0" applyBorder="1" applyFont="1"/>
    <xf borderId="1" fillId="5" fontId="12" numFmtId="0" xfId="0" applyAlignment="1" applyBorder="1" applyFill="1" applyFont="1">
      <alignment horizontal="center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1" fillId="0" fontId="14" numFmtId="3" xfId="0" applyAlignment="1" applyBorder="1" applyFont="1" applyNumberFormat="1">
      <alignment horizontal="right" shrinkToFit="0" vertical="center" wrapText="0"/>
    </xf>
    <xf borderId="1" fillId="5" fontId="15" numFmtId="0" xfId="0" applyAlignment="1" applyBorder="1" applyFill="1" applyFont="1">
      <alignment horizontal="center" shrinkToFit="0" vertical="center" wrapText="1"/>
    </xf>
    <xf borderId="1" fillId="5" fontId="15" numFmtId="3" xfId="0" applyAlignment="1" applyBorder="1" applyFill="1" applyFont="1" applyNumberFormat="1">
      <alignment horizontal="center" shrinkToFit="0" vertical="center" wrapText="1"/>
    </xf>
    <xf borderId="5" fillId="5" fontId="10" numFmtId="0" xfId="0" applyAlignment="1" applyBorder="1" applyFill="1" applyFont="1">
      <alignment horizontal="left" shrinkToFit="0" vertical="center" wrapText="1"/>
    </xf>
    <xf borderId="1" fillId="2" fontId="16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readingOrder="0" shrinkToFit="0" vertical="bottom" wrapText="0"/>
    </xf>
    <xf borderId="1" fillId="3" fontId="6" numFmtId="0" xfId="0" applyAlignment="1" applyBorder="1" applyFill="1" applyFont="1">
      <alignment horizontal="center" shrinkToFit="0" vertical="center" wrapText="1"/>
    </xf>
    <xf borderId="1" fillId="6" fontId="17" numFmtId="9" xfId="0" applyAlignment="1" applyBorder="1" applyFill="1" applyFont="1" applyNumberFormat="1">
      <alignment horizontal="center" shrinkToFit="0" vertical="center" wrapText="1"/>
    </xf>
    <xf borderId="5" fillId="0" fontId="18" numFmtId="3" xfId="0" applyAlignment="1" applyBorder="1" applyFont="1" applyNumberFormat="1">
      <alignment horizontal="right" shrinkToFit="0" vertical="center" wrapText="0"/>
    </xf>
    <xf borderId="1" fillId="4" fontId="6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ill="1" applyFont="1">
      <alignment horizontal="left" readingOrder="0" shrinkToFit="0" vertical="center" wrapText="1"/>
    </xf>
    <xf borderId="0" fillId="0" fontId="10" numFmtId="0" xfId="0" applyAlignment="1" applyFont="1">
      <alignment shrinkToFit="0" vertical="bottom" wrapText="0"/>
    </xf>
    <xf borderId="1" fillId="0" fontId="14" numFmtId="0" xfId="0" applyAlignment="1" applyBorder="1" applyFont="1">
      <alignment horizontal="center" shrinkToFit="0" vertical="center" wrapText="1"/>
    </xf>
    <xf borderId="1" fillId="6" fontId="14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shrinkToFit="0" vertical="bottom" wrapText="0"/>
    </xf>
    <xf borderId="5" fillId="7" fontId="10" numFmtId="0" xfId="0" applyAlignment="1" applyBorder="1" applyFill="1" applyFont="1">
      <alignment horizontal="left" readingOrder="0" shrinkToFit="0" vertical="center" wrapText="1"/>
    </xf>
    <xf borderId="5" fillId="7" fontId="20" numFmtId="3" xfId="0" applyAlignment="1" applyBorder="1" applyFill="1" applyFont="1" applyNumberFormat="1">
      <alignment horizontal="right" shrinkToFit="0" vertical="center" wrapText="0"/>
    </xf>
    <xf borderId="0" fillId="0" fontId="21" numFmtId="0" xfId="0" applyAlignment="1" applyFont="1">
      <alignment shrinkToFit="0" vertical="bottom" wrapText="0"/>
    </xf>
    <xf borderId="1" fillId="0" fontId="10" numFmtId="0" xfId="0" applyAlignment="1" applyBorder="1" applyFont="1">
      <alignment horizontal="left" shrinkToFit="0" vertical="center" wrapText="1"/>
    </xf>
    <xf borderId="1" fillId="6" fontId="17" numFmtId="3" xfId="0" applyAlignment="1" applyBorder="1" applyFill="1" applyFont="1" applyNumberFormat="1">
      <alignment horizontal="right" shrinkToFit="0" vertical="center" wrapText="0"/>
    </xf>
    <xf borderId="1" fillId="5" fontId="14" numFmtId="0" xfId="0" applyAlignment="1" applyBorder="1" applyFill="1" applyFont="1">
      <alignment horizontal="center" shrinkToFit="0" vertical="center" wrapText="1"/>
    </xf>
    <xf borderId="1" fillId="0" fontId="18" numFmtId="3" xfId="0" applyAlignment="1" applyBorder="1" applyFont="1" applyNumberFormat="1">
      <alignment horizontal="right" shrinkToFit="0" vertical="center" wrapText="0"/>
    </xf>
    <xf borderId="0" fillId="0" fontId="22" numFmtId="0" xfId="0" applyAlignment="1" applyFont="1">
      <alignment readingOrder="0" shrinkToFit="0" vertical="bottom" wrapText="0"/>
    </xf>
    <xf borderId="1" fillId="0" fontId="14" numFmtId="164" xfId="0" applyAlignment="1" applyBorder="1" applyFont="1" applyNumberFormat="1">
      <alignment horizontal="center" shrinkToFit="0" vertical="center" wrapText="1"/>
    </xf>
    <xf borderId="1" fillId="6" fontId="14" numFmtId="0" xfId="0" applyAlignment="1" applyBorder="1" applyFill="1" applyFont="1">
      <alignment horizontal="left" shrinkToFit="0" vertical="center" wrapText="1"/>
    </xf>
    <xf borderId="1" fillId="8" fontId="14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ill="1" applyFont="1">
      <alignment horizontal="center" shrinkToFit="0" vertical="center" wrapText="1"/>
    </xf>
    <xf borderId="5" fillId="0" fontId="13" numFmtId="0" xfId="0" applyAlignment="1" applyBorder="1" applyFont="1">
      <alignment horizontal="left" shrinkToFit="0" vertical="center" wrapText="1"/>
    </xf>
    <xf borderId="5" fillId="9" fontId="10" numFmtId="0" xfId="0" applyAlignment="1" applyBorder="1" applyFill="1" applyFont="1">
      <alignment horizontal="left" shrinkToFit="0" vertical="center" wrapText="1"/>
    </xf>
    <xf borderId="1" fillId="9" fontId="18" numFmtId="0" xfId="0" applyAlignment="1" applyBorder="1" applyFill="1" applyFont="1">
      <alignment horizontal="center" shrinkToFit="0" vertical="center" wrapText="1"/>
    </xf>
    <xf borderId="1" fillId="9" fontId="18" numFmtId="3" xfId="0" applyAlignment="1" applyBorder="1" applyFill="1" applyFont="1" applyNumberFormat="1">
      <alignment horizontal="right" shrinkToFit="0" vertical="center" wrapText="0"/>
    </xf>
    <xf borderId="5" fillId="7" fontId="10" numFmtId="3" xfId="0" applyAlignment="1" applyBorder="1" applyFill="1" applyFont="1" applyNumberFormat="1">
      <alignment horizontal="center" shrinkToFit="0" vertical="center" wrapText="1"/>
    </xf>
    <xf borderId="1" fillId="7" fontId="18" numFmtId="3" xfId="0" applyAlignment="1" applyBorder="1" applyFill="1" applyFont="1" applyNumberFormat="1">
      <alignment horizontal="center" shrinkToFit="0" vertical="center" wrapText="1"/>
    </xf>
    <xf borderId="1" fillId="7" fontId="18" numFmtId="3" xfId="0" applyAlignment="1" applyBorder="1" applyFill="1" applyFont="1" applyNumberFormat="1">
      <alignment horizontal="right" shrinkToFit="0" vertical="center" wrapText="0"/>
    </xf>
    <xf borderId="0" fillId="0" fontId="23" numFmtId="0" xfId="0" applyAlignment="1" applyFont="1">
      <alignment shrinkToFit="0" vertical="bottom" wrapText="0"/>
    </xf>
    <xf borderId="5" fillId="0" fontId="14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>
        <b/>
        <color rgb="FFC00000"/>
        <name val="Arial"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9" width="7.0"/>
    <col customWidth="1" min="10" max="10" width="8.0"/>
    <col customWidth="1" min="11" max="11" width="13.0"/>
    <col customWidth="1" min="12" max="12" width="16.0"/>
    <col customWidth="1" min="13" max="26" width="8.71"/>
  </cols>
  <sheetData>
    <row r="1">
      <c r="A1" s="1" t="s">
        <v>0</v>
      </c>
    </row>
    <row r="2">
      <c r="A2" s="4" t="s">
        <v>2</v>
      </c>
    </row>
    <row r="3" ht="27.75" customHeight="1">
      <c r="A3" s="8" t="s">
        <v>6</v>
      </c>
    </row>
    <row r="5">
      <c r="A5" s="11" t="s">
        <v>12</v>
      </c>
    </row>
    <row r="6" ht="16.5" customHeight="1">
      <c r="A6" s="12" t="s">
        <v>13</v>
      </c>
      <c r="B6" s="13"/>
      <c r="C6" s="14"/>
      <c r="D6" s="15"/>
      <c r="E6" s="15"/>
      <c r="F6" s="15"/>
      <c r="G6" s="15"/>
      <c r="H6" s="13"/>
    </row>
    <row r="7" ht="16.5" customHeight="1">
      <c r="A7" s="12" t="s">
        <v>14</v>
      </c>
      <c r="B7" s="13"/>
      <c r="C7" s="14"/>
      <c r="D7" s="15"/>
      <c r="E7" s="15"/>
      <c r="F7" s="15"/>
      <c r="G7" s="15"/>
      <c r="H7" s="13"/>
    </row>
    <row r="8" ht="16.5" customHeight="1">
      <c r="A8" s="12" t="s">
        <v>15</v>
      </c>
      <c r="B8" s="13"/>
      <c r="C8" s="14"/>
      <c r="D8" s="15"/>
      <c r="E8" s="15"/>
      <c r="F8" s="15"/>
      <c r="G8" s="15"/>
      <c r="H8" s="13"/>
    </row>
    <row r="9" ht="16.5" customHeight="1">
      <c r="A9" s="12" t="s">
        <v>22</v>
      </c>
      <c r="B9" s="13"/>
      <c r="C9" s="14"/>
      <c r="D9" s="15"/>
      <c r="E9" s="15"/>
      <c r="F9" s="15"/>
      <c r="G9" s="15"/>
      <c r="H9" s="13"/>
    </row>
    <row r="10" ht="16.5" customHeight="1">
      <c r="A10" s="12" t="s">
        <v>24</v>
      </c>
      <c r="B10" s="13"/>
      <c r="C10" s="14"/>
      <c r="D10" s="15"/>
      <c r="E10" s="15"/>
      <c r="F10" s="15"/>
      <c r="G10" s="15"/>
      <c r="H10" s="13"/>
    </row>
    <row r="11" ht="16.5" customHeight="1">
      <c r="A11" s="12" t="s">
        <v>26</v>
      </c>
      <c r="B11" s="13"/>
      <c r="C11" s="14"/>
      <c r="D11" s="15"/>
      <c r="E11" s="15"/>
      <c r="F11" s="15"/>
      <c r="G11" s="15"/>
      <c r="H11" s="13"/>
    </row>
    <row r="12" ht="16.5" customHeight="1">
      <c r="A12" s="12" t="s">
        <v>27</v>
      </c>
      <c r="B12" s="13"/>
      <c r="C12" s="14"/>
      <c r="D12" s="15"/>
      <c r="E12" s="15"/>
      <c r="F12" s="15"/>
      <c r="G12" s="15"/>
      <c r="H12" s="13"/>
    </row>
    <row r="14">
      <c r="A14" s="11" t="s">
        <v>29</v>
      </c>
    </row>
    <row r="15" ht="16.5" customHeight="1">
      <c r="A15" s="23" t="s">
        <v>30</v>
      </c>
      <c r="B15" s="15"/>
      <c r="C15" s="13"/>
      <c r="D15" s="28">
        <f>SUMPRODUCT('개인별 주문'!$I$6:$I$305,'개인별 주문'!$H$6:$H$305)</f>
        <v>0</v>
      </c>
      <c r="E15" s="13"/>
    </row>
    <row r="16" ht="16.5" customHeight="1">
      <c r="A16" s="30" t="s">
        <v>37</v>
      </c>
      <c r="B16" s="15"/>
      <c r="C16" s="13"/>
      <c r="D16" s="28">
        <f>D15-D17</f>
        <v>0</v>
      </c>
      <c r="E16" s="13"/>
    </row>
    <row r="17" ht="16.5" customHeight="1">
      <c r="A17" s="35" t="s">
        <v>52</v>
      </c>
      <c r="B17" s="15"/>
      <c r="C17" s="13"/>
      <c r="D17" s="36">
        <f>SUM('개인별 주문'!$K$6:$K$305)</f>
        <v>0</v>
      </c>
      <c r="E17" s="13"/>
    </row>
    <row r="18" ht="15.75" customHeight="1"/>
    <row r="19" ht="15.75" customHeight="1">
      <c r="A19" s="31" t="s">
        <v>57</v>
      </c>
      <c r="C19" s="37" t="str">
        <f>IF(COUNTIF('개인별 주문'!$L$6:$L$305,"&lt;&gt;OK")-COUNTIF('개인별 주문'!$L$6:$L$305,"")&gt;0,"⚠ 「개인별 주문」 시트에 확인이 필요한 줄이 있어요","✓ 입력 오류 없음")</f>
        <v>✓ 입력 오류 없음</v>
      </c>
    </row>
    <row r="20" ht="15.75" customHeight="1"/>
    <row r="21" ht="15.75" customHeight="1">
      <c r="A21" s="11" t="s">
        <v>68</v>
      </c>
    </row>
    <row r="22" ht="15.75" customHeight="1">
      <c r="A22" s="6" t="s">
        <v>5</v>
      </c>
      <c r="B22" s="24" t="s">
        <v>70</v>
      </c>
      <c r="C22" s="24" t="s">
        <v>71</v>
      </c>
      <c r="D22" s="24" t="s">
        <v>72</v>
      </c>
      <c r="E22" s="24" t="s">
        <v>73</v>
      </c>
      <c r="F22" s="24" t="s">
        <v>75</v>
      </c>
      <c r="G22" s="24" t="s">
        <v>76</v>
      </c>
      <c r="H22" s="24" t="s">
        <v>78</v>
      </c>
      <c r="I22" s="24" t="s">
        <v>79</v>
      </c>
      <c r="J22" s="6" t="s">
        <v>43</v>
      </c>
      <c r="K22" s="6" t="s">
        <v>46</v>
      </c>
    </row>
    <row r="23" ht="15.75" customHeight="1">
      <c r="A23" s="19" t="s">
        <v>81</v>
      </c>
      <c r="B23" s="40" t="s">
        <v>82</v>
      </c>
      <c r="C23" s="40" t="s">
        <v>82</v>
      </c>
      <c r="D23" s="43">
        <f>SUMIFS('개인별 주문'!$H$6:$H$305,'개인별 주문'!$C$6:$C$305,$A23,'개인별 주문'!$D$6:$D$305,D$22)</f>
        <v>0</v>
      </c>
      <c r="E23" s="43">
        <f>SUMIFS('개인별 주문'!$H$6:$H$305,'개인별 주문'!$C$6:$C$305,$A23,'개인별 주문'!$D$6:$D$305,E$22)</f>
        <v>0</v>
      </c>
      <c r="F23" s="43">
        <f>SUMIFS('개인별 주문'!$H$6:$H$305,'개인별 주문'!$C$6:$C$305,$A23,'개인별 주문'!$D$6:$D$305,F$22)</f>
        <v>0</v>
      </c>
      <c r="G23" s="43">
        <f>SUMIFS('개인별 주문'!$H$6:$H$305,'개인별 주문'!$C$6:$C$305,$A23,'개인별 주문'!$D$6:$D$305,G$22)</f>
        <v>0</v>
      </c>
      <c r="H23" s="43">
        <f>SUMIFS('개인별 주문'!$H$6:$H$305,'개인별 주문'!$C$6:$C$305,$A23,'개인별 주문'!$D$6:$D$305,H$22)</f>
        <v>0</v>
      </c>
      <c r="I23" s="43">
        <f>SUMIFS('개인별 주문'!$H$6:$H$305,'개인별 주문'!$C$6:$C$305,$A23,'개인별 주문'!$D$6:$D$305,I$22)</f>
        <v>0</v>
      </c>
      <c r="J23" s="32">
        <f t="shared" ref="J23:J26" si="1">SUM(B23:I23)</f>
        <v>0</v>
      </c>
      <c r="K23" s="20">
        <f>SUMIFS('개인별 주문'!$K$6:$K$305,'개인별 주문'!$C$6:$C$305,$A23)</f>
        <v>0</v>
      </c>
    </row>
    <row r="24" ht="15.75" customHeight="1">
      <c r="A24" s="19" t="s">
        <v>84</v>
      </c>
      <c r="B24" s="40" t="s">
        <v>82</v>
      </c>
      <c r="C24" s="40" t="s">
        <v>82</v>
      </c>
      <c r="D24" s="43">
        <f>SUMIFS('개인별 주문'!$H$6:$H$305,'개인별 주문'!$C$6:$C$305,$A24,'개인별 주문'!$D$6:$D$305,D$22)</f>
        <v>0</v>
      </c>
      <c r="E24" s="43">
        <f>SUMIFS('개인별 주문'!$H$6:$H$305,'개인별 주문'!$C$6:$C$305,$A24,'개인별 주문'!$D$6:$D$305,E$22)</f>
        <v>0</v>
      </c>
      <c r="F24" s="43">
        <f>SUMIFS('개인별 주문'!$H$6:$H$305,'개인별 주문'!$C$6:$C$305,$A24,'개인별 주문'!$D$6:$D$305,F$22)</f>
        <v>0</v>
      </c>
      <c r="G24" s="43">
        <f>SUMIFS('개인별 주문'!$H$6:$H$305,'개인별 주문'!$C$6:$C$305,$A24,'개인별 주문'!$D$6:$D$305,G$22)</f>
        <v>0</v>
      </c>
      <c r="H24" s="43">
        <f>SUMIFS('개인별 주문'!$H$6:$H$305,'개인별 주문'!$C$6:$C$305,$A24,'개인별 주문'!$D$6:$D$305,H$22)</f>
        <v>0</v>
      </c>
      <c r="I24" s="43">
        <f>SUMIFS('개인별 주문'!$H$6:$H$305,'개인별 주문'!$C$6:$C$305,$A24,'개인별 주문'!$D$6:$D$305,I$22)</f>
        <v>0</v>
      </c>
      <c r="J24" s="32">
        <f t="shared" si="1"/>
        <v>0</v>
      </c>
      <c r="K24" s="20">
        <f>SUMIFS('개인별 주문'!$K$6:$K$305,'개인별 주문'!$C$6:$C$305,$A24)</f>
        <v>0</v>
      </c>
    </row>
    <row r="25" ht="15.75" customHeight="1">
      <c r="A25" s="19" t="s">
        <v>85</v>
      </c>
      <c r="B25" s="43">
        <f>SUMIFS('개인별 주문'!$H$6:$H$305,'개인별 주문'!$C$6:$C$305,$A25,'개인별 주문'!$D$6:$D$305,B$22)</f>
        <v>0</v>
      </c>
      <c r="C25" s="43">
        <f>SUMIFS('개인별 주문'!$H$6:$H$305,'개인별 주문'!$C$6:$C$305,$A25,'개인별 주문'!$D$6:$D$305,C$22)</f>
        <v>0</v>
      </c>
      <c r="D25" s="43">
        <f>SUMIFS('개인별 주문'!$H$6:$H$305,'개인별 주문'!$C$6:$C$305,$A25,'개인별 주문'!$D$6:$D$305,D$22)</f>
        <v>0</v>
      </c>
      <c r="E25" s="43">
        <f>SUMIFS('개인별 주문'!$H$6:$H$305,'개인별 주문'!$C$6:$C$305,$A25,'개인별 주문'!$D$6:$D$305,E$22)</f>
        <v>0</v>
      </c>
      <c r="F25" s="43">
        <f>SUMIFS('개인별 주문'!$H$6:$H$305,'개인별 주문'!$C$6:$C$305,$A25,'개인별 주문'!$D$6:$D$305,F$22)</f>
        <v>0</v>
      </c>
      <c r="G25" s="43">
        <f>SUMIFS('개인별 주문'!$H$6:$H$305,'개인별 주문'!$C$6:$C$305,$A25,'개인별 주문'!$D$6:$D$305,G$22)</f>
        <v>0</v>
      </c>
      <c r="H25" s="43">
        <f>SUMIFS('개인별 주문'!$H$6:$H$305,'개인별 주문'!$C$6:$C$305,$A25,'개인별 주문'!$D$6:$D$305,H$22)</f>
        <v>0</v>
      </c>
      <c r="I25" s="43">
        <f>SUMIFS('개인별 주문'!$H$6:$H$305,'개인별 주문'!$C$6:$C$305,$A25,'개인별 주문'!$D$6:$D$305,I$22)</f>
        <v>0</v>
      </c>
      <c r="J25" s="43">
        <f t="shared" si="1"/>
        <v>0</v>
      </c>
      <c r="K25" s="20">
        <f>SUMIFS('개인별 주문'!$K$6:$K$305,'개인별 주문'!$C$6:$C$305,$A25)</f>
        <v>0</v>
      </c>
    </row>
    <row r="26" ht="15.75" customHeight="1">
      <c r="A26" s="19" t="s">
        <v>86</v>
      </c>
      <c r="B26" s="43">
        <f>SUMIFS('개인별 주문'!$H$6:$H$305,'개인별 주문'!$C$6:$C$305,$A26,'개인별 주문'!$D$6:$D$305,B$22)</f>
        <v>0</v>
      </c>
      <c r="C26" s="43">
        <f>SUMIFS('개인별 주문'!$H$6:$H$305,'개인별 주문'!$C$6:$C$305,$A26,'개인별 주문'!$D$6:$D$305,C$22)</f>
        <v>0</v>
      </c>
      <c r="D26" s="43">
        <f>SUMIFS('개인별 주문'!$H$6:$H$305,'개인별 주문'!$C$6:$C$305,$A26,'개인별 주문'!$D$6:$D$305,D$22)</f>
        <v>0</v>
      </c>
      <c r="E26" s="43">
        <f>SUMIFS('개인별 주문'!$H$6:$H$305,'개인별 주문'!$C$6:$C$305,$A26,'개인별 주문'!$D$6:$D$305,E$22)</f>
        <v>0</v>
      </c>
      <c r="F26" s="43">
        <f>SUMIFS('개인별 주문'!$H$6:$H$305,'개인별 주문'!$C$6:$C$305,$A26,'개인별 주문'!$D$6:$D$305,F$22)</f>
        <v>0</v>
      </c>
      <c r="G26" s="43">
        <f>SUMIFS('개인별 주문'!$H$6:$H$305,'개인별 주문'!$C$6:$C$305,$A26,'개인별 주문'!$D$6:$D$305,G$22)</f>
        <v>0</v>
      </c>
      <c r="H26" s="43">
        <f>SUMIFS('개인별 주문'!$H$6:$H$305,'개인별 주문'!$C$6:$C$305,$A26,'개인별 주문'!$D$6:$D$305,H$22)</f>
        <v>0</v>
      </c>
      <c r="I26" s="43">
        <f>SUMIFS('개인별 주문'!$H$6:$H$305,'개인별 주문'!$C$6:$C$305,$A26,'개인별 주문'!$D$6:$D$305,I$22)</f>
        <v>0</v>
      </c>
      <c r="J26" s="43">
        <f t="shared" si="1"/>
        <v>0</v>
      </c>
      <c r="K26" s="20">
        <f>SUMIFS('개인별 주문'!$K$6:$K$305,'개인별 주문'!$C$6:$C$305,$A26)</f>
        <v>0</v>
      </c>
    </row>
    <row r="27" ht="15.75" customHeight="1"/>
    <row r="28" ht="15.75" customHeight="1">
      <c r="A28" s="11" t="s">
        <v>87</v>
      </c>
    </row>
    <row r="29" ht="16.5" customHeight="1">
      <c r="A29" s="46" t="s">
        <v>5</v>
      </c>
      <c r="B29" s="15"/>
      <c r="C29" s="15"/>
      <c r="D29" s="15"/>
      <c r="E29" s="15"/>
      <c r="F29" s="15"/>
      <c r="G29" s="15"/>
      <c r="H29" s="15"/>
      <c r="I29" s="13"/>
      <c r="J29" s="6" t="s">
        <v>43</v>
      </c>
      <c r="K29" s="6" t="s">
        <v>46</v>
      </c>
    </row>
    <row r="30" ht="16.5" customHeight="1">
      <c r="A30" s="47" t="s">
        <v>88</v>
      </c>
      <c r="B30" s="15"/>
      <c r="C30" s="15"/>
      <c r="D30" s="15"/>
      <c r="E30" s="15"/>
      <c r="F30" s="15"/>
      <c r="G30" s="15"/>
      <c r="H30" s="15"/>
      <c r="I30" s="13"/>
      <c r="J30" s="32">
        <f>SUMIFS('개인별 주문'!$H$6:$H$305,'개인별 주문'!$C$6:$C$305,$A30)</f>
        <v>0</v>
      </c>
      <c r="K30" s="20">
        <f>SUMIFS('개인별 주문'!$K$6:$K$305,'개인별 주문'!$C$6:$C$305,$A30)</f>
        <v>0</v>
      </c>
    </row>
    <row r="31" ht="16.5" customHeight="1">
      <c r="A31" s="47" t="s">
        <v>89</v>
      </c>
      <c r="B31" s="15"/>
      <c r="C31" s="15"/>
      <c r="D31" s="15"/>
      <c r="E31" s="15"/>
      <c r="F31" s="15"/>
      <c r="G31" s="15"/>
      <c r="H31" s="15"/>
      <c r="I31" s="13"/>
      <c r="J31" s="32">
        <f>SUMIFS('개인별 주문'!$H$6:$H$305,'개인별 주문'!$C$6:$C$305,$A31)</f>
        <v>0</v>
      </c>
      <c r="K31" s="20">
        <f>SUMIFS('개인별 주문'!$K$6:$K$305,'개인별 주문'!$C$6:$C$305,$A31)</f>
        <v>0</v>
      </c>
    </row>
    <row r="32" ht="16.5" customHeight="1">
      <c r="A32" s="47" t="s">
        <v>90</v>
      </c>
      <c r="B32" s="15"/>
      <c r="C32" s="15"/>
      <c r="D32" s="15"/>
      <c r="E32" s="15"/>
      <c r="F32" s="15"/>
      <c r="G32" s="15"/>
      <c r="H32" s="15"/>
      <c r="I32" s="13"/>
      <c r="J32" s="32">
        <f>SUMIFS('개인별 주문'!$H$6:$H$305,'개인별 주문'!$C$6:$C$305,$A32)</f>
        <v>0</v>
      </c>
      <c r="K32" s="20">
        <f>SUMIFS('개인별 주문'!$K$6:$K$305,'개인별 주문'!$C$6:$C$305,$A32)</f>
        <v>0</v>
      </c>
    </row>
    <row r="33" ht="16.5" customHeight="1">
      <c r="A33" s="47" t="s">
        <v>91</v>
      </c>
      <c r="B33" s="15"/>
      <c r="C33" s="15"/>
      <c r="D33" s="15"/>
      <c r="E33" s="15"/>
      <c r="F33" s="15"/>
      <c r="G33" s="15"/>
      <c r="H33" s="15"/>
      <c r="I33" s="13"/>
      <c r="J33" s="32">
        <f>SUMIFS('개인별 주문'!$H$6:$H$305,'개인별 주문'!$C$6:$C$305,$A33)</f>
        <v>0</v>
      </c>
      <c r="K33" s="20">
        <f>SUMIFS('개인별 주문'!$K$6:$K$305,'개인별 주문'!$C$6:$C$305,$A33)</f>
        <v>0</v>
      </c>
    </row>
    <row r="34" ht="16.5" customHeight="1">
      <c r="A34" s="47" t="s">
        <v>63</v>
      </c>
      <c r="B34" s="15"/>
      <c r="C34" s="15"/>
      <c r="D34" s="15"/>
      <c r="E34" s="15"/>
      <c r="F34" s="15"/>
      <c r="G34" s="15"/>
      <c r="H34" s="15"/>
      <c r="I34" s="13"/>
      <c r="J34" s="32">
        <f>SUMIFS('개인별 주문'!$H$6:$H$305,'개인별 주문'!$C$6:$C$305,$A34)</f>
        <v>0</v>
      </c>
      <c r="K34" s="20">
        <f>SUMIFS('개인별 주문'!$K$6:$K$305,'개인별 주문'!$C$6:$C$305,$A34)</f>
        <v>0</v>
      </c>
    </row>
    <row r="35" ht="16.5" customHeight="1">
      <c r="A35" s="47" t="s">
        <v>92</v>
      </c>
      <c r="B35" s="15"/>
      <c r="C35" s="15"/>
      <c r="D35" s="15"/>
      <c r="E35" s="15"/>
      <c r="F35" s="15"/>
      <c r="G35" s="15"/>
      <c r="H35" s="15"/>
      <c r="I35" s="13"/>
      <c r="J35" s="32">
        <f>SUMIFS('개인별 주문'!$H$6:$H$305,'개인별 주문'!$C$6:$C$305,$A35)</f>
        <v>0</v>
      </c>
      <c r="K35" s="20">
        <f>SUMIFS('개인별 주문'!$K$6:$K$305,'개인별 주문'!$C$6:$C$305,$A35)</f>
        <v>0</v>
      </c>
    </row>
    <row r="36" ht="16.5" customHeight="1">
      <c r="A36" s="47" t="s">
        <v>93</v>
      </c>
      <c r="B36" s="15"/>
      <c r="C36" s="15"/>
      <c r="D36" s="15"/>
      <c r="E36" s="15"/>
      <c r="F36" s="15"/>
      <c r="G36" s="15"/>
      <c r="H36" s="15"/>
      <c r="I36" s="13"/>
      <c r="J36" s="32">
        <f>SUMIFS('개인별 주문'!$H$6:$H$305,'개인별 주문'!$C$6:$C$305,$A36)</f>
        <v>0</v>
      </c>
      <c r="K36" s="20">
        <f>SUMIFS('개인별 주문'!$K$6:$K$305,'개인별 주문'!$C$6:$C$305,$A36)</f>
        <v>0</v>
      </c>
    </row>
    <row r="37" ht="16.5" customHeight="1">
      <c r="A37" s="47" t="s">
        <v>94</v>
      </c>
      <c r="B37" s="15"/>
      <c r="C37" s="15"/>
      <c r="D37" s="15"/>
      <c r="E37" s="15"/>
      <c r="F37" s="15"/>
      <c r="G37" s="15"/>
      <c r="H37" s="15"/>
      <c r="I37" s="13"/>
      <c r="J37" s="32">
        <f>SUMIFS('개인별 주문'!$H$6:$H$305,'개인별 주문'!$C$6:$C$305,$A37)</f>
        <v>0</v>
      </c>
      <c r="K37" s="20">
        <f>SUMIFS('개인별 주문'!$K$6:$K$305,'개인별 주문'!$C$6:$C$305,$A37)</f>
        <v>0</v>
      </c>
    </row>
    <row r="38" ht="16.5" customHeight="1">
      <c r="A38" s="47" t="s">
        <v>95</v>
      </c>
      <c r="B38" s="15"/>
      <c r="C38" s="15"/>
      <c r="D38" s="15"/>
      <c r="E38" s="15"/>
      <c r="F38" s="15"/>
      <c r="G38" s="15"/>
      <c r="H38" s="15"/>
      <c r="I38" s="13"/>
      <c r="J38" s="32">
        <f>SUMIFS('개인별 주문'!$H$6:$H$305,'개인별 주문'!$C$6:$C$305,$A38)</f>
        <v>0</v>
      </c>
      <c r="K38" s="20">
        <f>SUMIFS('개인별 주문'!$K$6:$K$305,'개인별 주문'!$C$6:$C$305,$A38)</f>
        <v>0</v>
      </c>
    </row>
    <row r="39" ht="16.5" customHeight="1">
      <c r="A39" s="47" t="s">
        <v>77</v>
      </c>
      <c r="B39" s="15"/>
      <c r="C39" s="15"/>
      <c r="D39" s="15"/>
      <c r="E39" s="15"/>
      <c r="F39" s="15"/>
      <c r="G39" s="15"/>
      <c r="H39" s="15"/>
      <c r="I39" s="13"/>
      <c r="J39" s="32">
        <f>SUMIFS('개인별 주문'!$H$6:$H$305,'개인별 주문'!$C$6:$C$305,$A39)</f>
        <v>0</v>
      </c>
      <c r="K39" s="20">
        <f>SUMIFS('개인별 주문'!$K$6:$K$305,'개인별 주문'!$C$6:$C$305,$A39)</f>
        <v>0</v>
      </c>
    </row>
    <row r="40" ht="16.5" customHeight="1">
      <c r="A40" s="48" t="s">
        <v>19</v>
      </c>
      <c r="B40" s="15"/>
      <c r="C40" s="15"/>
      <c r="D40" s="15"/>
      <c r="E40" s="15"/>
      <c r="F40" s="15"/>
      <c r="G40" s="15"/>
      <c r="H40" s="15"/>
      <c r="I40" s="13"/>
      <c r="J40" s="49">
        <f>SUMIFS('개인별 주문'!$H$6:$H$305,'개인별 주문'!$C$6:$C$305,$A40)</f>
        <v>0</v>
      </c>
      <c r="K40" s="50">
        <f>SUMIFS('개인별 주문'!$K$6:$K$305,'개인별 주문'!$C$6:$C$305,$A40)</f>
        <v>0</v>
      </c>
    </row>
    <row r="41" ht="16.5" customHeight="1">
      <c r="A41" s="51" t="s">
        <v>96</v>
      </c>
      <c r="B41" s="15"/>
      <c r="C41" s="15"/>
      <c r="D41" s="15"/>
      <c r="E41" s="15"/>
      <c r="F41" s="15"/>
      <c r="G41" s="15"/>
      <c r="H41" s="15"/>
      <c r="I41" s="13"/>
      <c r="J41" s="52">
        <f t="shared" ref="J41:K41" si="2">SUM(J23:J26)+SUM(J30:J40)</f>
        <v>0</v>
      </c>
      <c r="K41" s="53">
        <f t="shared" si="2"/>
        <v>0</v>
      </c>
      <c r="L41" s="54" t="str">
        <f>IF(K41=D17,"✓ 총 입금액과 일치","⚠ 확인 필요")</f>
        <v>✓ 총 입금액과 일치</v>
      </c>
    </row>
    <row r="42" ht="15.75" customHeight="1"/>
    <row r="43" ht="15.75" customHeight="1">
      <c r="A43" s="11" t="s">
        <v>97</v>
      </c>
    </row>
    <row r="44" ht="32.25" customHeight="1">
      <c r="A44" s="46" t="s">
        <v>98</v>
      </c>
      <c r="B44" s="15"/>
      <c r="C44" s="15"/>
      <c r="D44" s="15"/>
      <c r="E44" s="15"/>
      <c r="F44" s="15"/>
      <c r="G44" s="13"/>
      <c r="H44" s="6" t="s">
        <v>99</v>
      </c>
      <c r="I44" s="46" t="s">
        <v>100</v>
      </c>
      <c r="J44" s="13"/>
      <c r="K44" s="6" t="s">
        <v>101</v>
      </c>
    </row>
    <row r="45" ht="16.5" customHeight="1">
      <c r="A45" s="47" t="s">
        <v>102</v>
      </c>
      <c r="B45" s="15"/>
      <c r="C45" s="15"/>
      <c r="D45" s="15"/>
      <c r="E45" s="15"/>
      <c r="F45" s="15"/>
      <c r="G45" s="13"/>
      <c r="H45" s="32">
        <f>SUMIFS('개인별 주문'!$H$6:$H$305,'개인별 주문'!$C$6:$C$305,$A45)</f>
        <v>0</v>
      </c>
      <c r="I45" s="55">
        <f>SUMIFS('개인별 주문'!$H$6:$H$305,'개인별 주문'!$C$6:$C$305,"올인원 세트",'개인별 주문'!$E$6:$E$305,"레드 웨이브")</f>
        <v>0</v>
      </c>
      <c r="J45" s="13"/>
      <c r="K45" s="56">
        <f t="shared" ref="K45:K52" si="3">H45+I45</f>
        <v>0</v>
      </c>
    </row>
    <row r="46" ht="16.5" customHeight="1">
      <c r="A46" s="47" t="s">
        <v>103</v>
      </c>
      <c r="B46" s="15"/>
      <c r="C46" s="15"/>
      <c r="D46" s="15"/>
      <c r="E46" s="15"/>
      <c r="F46" s="15"/>
      <c r="G46" s="13"/>
      <c r="H46" s="32">
        <f>SUMIFS('개인별 주문'!$H$6:$H$305,'개인별 주문'!$C$6:$C$305,$A46)</f>
        <v>0</v>
      </c>
      <c r="I46" s="55">
        <f>SUMIFS('개인별 주문'!$H$6:$H$305,'개인별 주문'!$C$6:$C$305,"올인원 세트",'개인별 주문'!$E$6:$E$305,"블랙 스탬프")</f>
        <v>0</v>
      </c>
      <c r="J46" s="13"/>
      <c r="K46" s="56">
        <f t="shared" si="3"/>
        <v>0</v>
      </c>
    </row>
    <row r="47" ht="16.5" customHeight="1">
      <c r="A47" s="47" t="s">
        <v>104</v>
      </c>
      <c r="B47" s="15"/>
      <c r="C47" s="15"/>
      <c r="D47" s="15"/>
      <c r="E47" s="15"/>
      <c r="F47" s="15"/>
      <c r="G47" s="13"/>
      <c r="H47" s="32">
        <f>SUMIFS('개인별 주문'!$H$6:$H$305,'개인별 주문'!$C$6:$C$305,$A47)</f>
        <v>0</v>
      </c>
      <c r="I47" s="55">
        <f>SUMIFS('개인별 주문'!$H$6:$H$305,'개인별 주문'!$C$6:$C$305,"올인원 세트",'개인별 주문'!$F$6:$F$305,"블랙")</f>
        <v>0</v>
      </c>
      <c r="J47" s="13"/>
      <c r="K47" s="56">
        <f t="shared" si="3"/>
        <v>0</v>
      </c>
    </row>
    <row r="48" ht="16.5" customHeight="1">
      <c r="A48" s="47" t="s">
        <v>105</v>
      </c>
      <c r="B48" s="15"/>
      <c r="C48" s="15"/>
      <c r="D48" s="15"/>
      <c r="E48" s="15"/>
      <c r="F48" s="15"/>
      <c r="G48" s="13"/>
      <c r="H48" s="32">
        <f>SUMIFS('개인별 주문'!$H$6:$H$305,'개인별 주문'!$C$6:$C$305,$A48)</f>
        <v>0</v>
      </c>
      <c r="I48" s="55">
        <f>SUMIFS('개인별 주문'!$H$6:$H$305,'개인별 주문'!$C$6:$C$305,"올인원 세트",'개인별 주문'!$F$6:$F$305,"화이트")</f>
        <v>0</v>
      </c>
      <c r="J48" s="13"/>
      <c r="K48" s="56">
        <f t="shared" si="3"/>
        <v>0</v>
      </c>
    </row>
    <row r="49" ht="16.5" customHeight="1">
      <c r="A49" s="47" t="s">
        <v>63</v>
      </c>
      <c r="B49" s="15"/>
      <c r="C49" s="15"/>
      <c r="D49" s="15"/>
      <c r="E49" s="15"/>
      <c r="F49" s="15"/>
      <c r="G49" s="13"/>
      <c r="H49" s="32">
        <f>SUMIFS('개인별 주문'!$H$6:$H$305,'개인별 주문'!$C$6:$C$305,$A49)</f>
        <v>0</v>
      </c>
      <c r="I49" s="55">
        <f>J40</f>
        <v>0</v>
      </c>
      <c r="J49" s="13"/>
      <c r="K49" s="56">
        <f t="shared" si="3"/>
        <v>0</v>
      </c>
    </row>
    <row r="50" ht="16.5" customHeight="1">
      <c r="A50" s="47" t="s">
        <v>106</v>
      </c>
      <c r="B50" s="15"/>
      <c r="C50" s="15"/>
      <c r="D50" s="15"/>
      <c r="E50" s="15"/>
      <c r="F50" s="15"/>
      <c r="G50" s="13"/>
      <c r="H50" s="32">
        <f>SUMIFS('개인별 주문'!$H$6:$H$305,'개인별 주문'!$C$6:$C$305,$A50)</f>
        <v>0</v>
      </c>
      <c r="I50" s="55">
        <f>SUMIFS('개인별 주문'!$H$6:$H$305,'개인별 주문'!$C$6:$C$305,"올인원 세트",'개인별 주문'!$G$6:$G$305,"1 스탬프")</f>
        <v>0</v>
      </c>
      <c r="J50" s="13"/>
      <c r="K50" s="56">
        <f t="shared" si="3"/>
        <v>0</v>
      </c>
    </row>
    <row r="51" ht="16.5" customHeight="1">
      <c r="A51" s="47" t="s">
        <v>107</v>
      </c>
      <c r="B51" s="15"/>
      <c r="C51" s="15"/>
      <c r="D51" s="15"/>
      <c r="E51" s="15"/>
      <c r="F51" s="15"/>
      <c r="G51" s="13"/>
      <c r="H51" s="32">
        <f>SUMIFS('개인별 주문'!$H$6:$H$305,'개인별 주문'!$C$6:$C$305,$A51)</f>
        <v>0</v>
      </c>
      <c r="I51" s="55">
        <f>SUMIFS('개인별 주문'!$H$6:$H$305,'개인별 주문'!$C$6:$C$305,"올인원 세트",'개인별 주문'!$G$6:$G$305,"2 십자가")</f>
        <v>0</v>
      </c>
      <c r="J51" s="13"/>
      <c r="K51" s="56">
        <f t="shared" si="3"/>
        <v>0</v>
      </c>
    </row>
    <row r="52" ht="16.5" customHeight="1">
      <c r="A52" s="47" t="s">
        <v>77</v>
      </c>
      <c r="B52" s="15"/>
      <c r="C52" s="15"/>
      <c r="D52" s="15"/>
      <c r="E52" s="15"/>
      <c r="F52" s="15"/>
      <c r="G52" s="13"/>
      <c r="H52" s="32">
        <f>SUMIFS('개인별 주문'!$H$6:$H$305,'개인별 주문'!$C$6:$C$305,$A52)</f>
        <v>0</v>
      </c>
      <c r="I52" s="55">
        <f>J40</f>
        <v>0</v>
      </c>
      <c r="J52" s="13"/>
      <c r="K52" s="56">
        <f t="shared" si="3"/>
        <v>0</v>
      </c>
    </row>
    <row r="53" ht="15.75" customHeight="1">
      <c r="A53" s="57" t="s">
        <v>108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2">
    <mergeCell ref="I51:J51"/>
    <mergeCell ref="I52:J52"/>
    <mergeCell ref="I44:J44"/>
    <mergeCell ref="I45:J45"/>
    <mergeCell ref="I46:J46"/>
    <mergeCell ref="I47:J47"/>
    <mergeCell ref="I48:J48"/>
    <mergeCell ref="I49:J49"/>
    <mergeCell ref="I50:J50"/>
    <mergeCell ref="A15:C15"/>
    <mergeCell ref="D15:E15"/>
    <mergeCell ref="A17:C17"/>
    <mergeCell ref="D17:E17"/>
    <mergeCell ref="A16:C16"/>
    <mergeCell ref="D16:E16"/>
    <mergeCell ref="A3:L3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C12:H12"/>
    <mergeCell ref="A30:I30"/>
    <mergeCell ref="A31:I31"/>
    <mergeCell ref="A32:I32"/>
    <mergeCell ref="A33:I33"/>
    <mergeCell ref="A34:I34"/>
    <mergeCell ref="A35:I35"/>
    <mergeCell ref="A36:I36"/>
    <mergeCell ref="A46:G46"/>
    <mergeCell ref="A47:G47"/>
    <mergeCell ref="A48:G48"/>
    <mergeCell ref="A49:G49"/>
    <mergeCell ref="A50:G50"/>
    <mergeCell ref="A51:G51"/>
    <mergeCell ref="A52:G52"/>
    <mergeCell ref="A37:I37"/>
    <mergeCell ref="A38:I38"/>
    <mergeCell ref="A39:I39"/>
    <mergeCell ref="A40:I40"/>
    <mergeCell ref="A41:I41"/>
    <mergeCell ref="A44:G44"/>
    <mergeCell ref="A45:G45"/>
    <mergeCell ref="A12:B12"/>
    <mergeCell ref="A29:I2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6.0"/>
    <col customWidth="1" min="2" max="2" width="11.0"/>
    <col customWidth="1" min="3" max="3" width="22.0"/>
    <col customWidth="1" min="4" max="4" width="8.0"/>
    <col customWidth="1" min="5" max="5" width="12.0"/>
    <col customWidth="1" min="6" max="7" width="10.0"/>
    <col customWidth="1" min="8" max="8" width="6.0"/>
    <col customWidth="1" min="9" max="9" width="10.0"/>
    <col customWidth="1" min="10" max="10" width="16.14"/>
    <col customWidth="1" min="11" max="11" width="11.0"/>
    <col customWidth="1" min="12" max="12" width="15.0"/>
    <col customWidth="1" min="13" max="13" width="18.0"/>
    <col customWidth="1" hidden="1" min="14" max="14" width="13.0"/>
    <col customWidth="1" min="15" max="25" width="8.71"/>
  </cols>
  <sheetData>
    <row r="1">
      <c r="A1" s="2" t="s">
        <v>1</v>
      </c>
    </row>
    <row r="2" ht="48.0" customHeight="1">
      <c r="A2" s="5" t="s">
        <v>4</v>
      </c>
    </row>
    <row r="3" ht="15.0" customHeight="1">
      <c r="D3" s="7" t="s">
        <v>7</v>
      </c>
      <c r="E3" s="9" t="s">
        <v>11</v>
      </c>
      <c r="F3" s="10"/>
      <c r="G3" s="17"/>
    </row>
    <row r="4">
      <c r="A4" s="18" t="s">
        <v>16</v>
      </c>
      <c r="B4" s="18" t="s">
        <v>18</v>
      </c>
      <c r="C4" s="18" t="s">
        <v>19</v>
      </c>
      <c r="D4" s="18"/>
      <c r="E4" s="18" t="s">
        <v>20</v>
      </c>
      <c r="F4" s="18" t="s">
        <v>21</v>
      </c>
      <c r="G4" s="21" t="s">
        <v>25</v>
      </c>
      <c r="H4" s="18">
        <v>1.0</v>
      </c>
      <c r="I4" s="22">
        <v>32000.0</v>
      </c>
      <c r="J4" s="22">
        <v>28800.0</v>
      </c>
      <c r="K4" s="22">
        <v>28800.0</v>
      </c>
      <c r="L4" s="21" t="s">
        <v>28</v>
      </c>
      <c r="M4" s="18" t="s">
        <v>31</v>
      </c>
      <c r="N4" s="18"/>
    </row>
    <row r="5" ht="31.5" customHeight="1">
      <c r="A5" s="24" t="s">
        <v>32</v>
      </c>
      <c r="B5" s="6" t="s">
        <v>33</v>
      </c>
      <c r="C5" s="6" t="s">
        <v>5</v>
      </c>
      <c r="D5" s="26" t="s">
        <v>35</v>
      </c>
      <c r="E5" s="29" t="s">
        <v>36</v>
      </c>
      <c r="F5" s="29" t="s">
        <v>39</v>
      </c>
      <c r="G5" s="29" t="s">
        <v>41</v>
      </c>
      <c r="H5" s="6" t="s">
        <v>43</v>
      </c>
      <c r="I5" s="6" t="s">
        <v>44</v>
      </c>
      <c r="J5" s="16" t="s">
        <v>45</v>
      </c>
      <c r="K5" s="6" t="s">
        <v>46</v>
      </c>
      <c r="L5" s="6" t="s">
        <v>47</v>
      </c>
      <c r="M5" s="6" t="s">
        <v>48</v>
      </c>
      <c r="N5" s="6" t="s">
        <v>50</v>
      </c>
    </row>
    <row r="6">
      <c r="A6" s="32">
        <v>1.0</v>
      </c>
      <c r="B6" s="33"/>
      <c r="C6" s="33"/>
      <c r="D6" s="33"/>
      <c r="E6" s="33"/>
      <c r="F6" s="33"/>
      <c r="G6" s="33"/>
      <c r="H6" s="33"/>
      <c r="I6" s="20" t="str">
        <f t="array" ref="I6">IF(C6="","",IFERROR(INDEX('상품표'!$C$4:$C$18,MATCH(C6,'상품표'!$A$4:$A$18,0)),""))</f>
        <v/>
      </c>
      <c r="J6" s="20" t="str">
        <f>IF(I6="","",ROUND(I6*(1-'상품표'!$G$4),0))</f>
        <v/>
      </c>
      <c r="K6" s="20" t="str">
        <f t="shared" ref="K6:K305" si="1">IF(OR(J6="",H6=""),"",J6*H6)</f>
        <v/>
      </c>
      <c r="L6" s="32" t="str">
        <f t="array" ref="L6">IF(C6="","",IF(ISNA(MATCH(C6,'상품표'!$A$4:$A$18,0)),"상품명 확인",IF(H6="","수량 입력",IF(FALSE,"",IF(INDEX('상품표'!$B$4:$B$18,MATCH(C6,'상품표'!$A$4:$A$18,0))="의류",IF(D6="","사이즈 선택",IF(AND(LEFT(C6,4)="후드집업",OR(D6="XXS",D6="XS")),"후드는 S부터",IF(COUNTA(E6:G6)&gt;0,"세트 옵션은 세트만","OK"))),IF(INDEX('상품표'!$B$4:$B$18,MATCH(C6,'상품표'!$A$4:$A$18,0))="세트",IF(COUNTA(E6:G6)&lt;3,"세트 옵션 선택",IF(D6&lt;&gt;"","사이즈 불필요","OK")),IF(COUNTA(E6:G6)&gt;0,"세트 옵션은 세트만",IF(D6&lt;&gt;"","사이즈 불필요","OK"))))))))</f>
        <v/>
      </c>
      <c r="M6" s="44"/>
      <c r="N6" s="45"/>
    </row>
    <row r="7">
      <c r="A7" s="32">
        <v>2.0</v>
      </c>
      <c r="B7" s="33"/>
      <c r="C7" s="33"/>
      <c r="D7" s="33"/>
      <c r="E7" s="33"/>
      <c r="F7" s="33"/>
      <c r="G7" s="33"/>
      <c r="H7" s="33"/>
      <c r="I7" s="20" t="str">
        <f t="array" ref="I7">IF(C7="","",IFERROR(INDEX('상품표'!$C$4:$C$18,MATCH(C7,'상품표'!$A$4:$A$18,0)),""))</f>
        <v/>
      </c>
      <c r="J7" s="20" t="str">
        <f>IF(I7="","",ROUND(I7*(1-'상품표'!$G$4),0))</f>
        <v/>
      </c>
      <c r="K7" s="20" t="str">
        <f t="shared" si="1"/>
        <v/>
      </c>
      <c r="L7" s="32" t="str">
        <f t="array" ref="L7">IF(C7="","",IF(ISNA(MATCH(C7,'상품표'!$A$4:$A$18,0)),"상품명 확인",IF(H7="","수량 입력",IF(FALSE,"",IF(INDEX('상품표'!$B$4:$B$18,MATCH(C7,'상품표'!$A$4:$A$18,0))="의류",IF(D7="","사이즈 선택",IF(AND(LEFT(C7,4)="후드집업",OR(D7="XXS",D7="XS")),"후드는 S부터",IF(COUNTA(E7:G7)&gt;0,"세트 옵션은 세트만","OK"))),IF(INDEX('상품표'!$B$4:$B$18,MATCH(C7,'상품표'!$A$4:$A$18,0))="세트",IF(COUNTA(E7:G7)&lt;3,"세트 옵션 선택",IF(D7&lt;&gt;"","사이즈 불필요","OK")),IF(COUNTA(E7:G7)&gt;0,"세트 옵션은 세트만",IF(D7&lt;&gt;"","사이즈 불필요","OK"))))))))</f>
        <v/>
      </c>
      <c r="M7" s="44"/>
      <c r="N7" s="45"/>
    </row>
    <row r="8">
      <c r="A8" s="32">
        <v>3.0</v>
      </c>
      <c r="B8" s="33"/>
      <c r="C8" s="33"/>
      <c r="D8" s="33"/>
      <c r="E8" s="33"/>
      <c r="F8" s="33"/>
      <c r="G8" s="33"/>
      <c r="H8" s="33"/>
      <c r="I8" s="20" t="str">
        <f t="array" ref="I8">IF(C8="","",IFERROR(INDEX('상품표'!$C$4:$C$18,MATCH(C8,'상품표'!$A$4:$A$18,0)),""))</f>
        <v/>
      </c>
      <c r="J8" s="20" t="str">
        <f>IF(I8="","",ROUND(I8*(1-'상품표'!$G$4),0))</f>
        <v/>
      </c>
      <c r="K8" s="20" t="str">
        <f t="shared" si="1"/>
        <v/>
      </c>
      <c r="L8" s="32" t="str">
        <f t="array" ref="L8">IF(C8="","",IF(ISNA(MATCH(C8,'상품표'!$A$4:$A$18,0)),"상품명 확인",IF(H8="","수량 입력",IF(FALSE,"",IF(INDEX('상품표'!$B$4:$B$18,MATCH(C8,'상품표'!$A$4:$A$18,0))="의류",IF(D8="","사이즈 선택",IF(AND(LEFT(C8,4)="후드집업",OR(D8="XXS",D8="XS")),"후드는 S부터",IF(COUNTA(E8:G8)&gt;0,"세트 옵션은 세트만","OK"))),IF(INDEX('상품표'!$B$4:$B$18,MATCH(C8,'상품표'!$A$4:$A$18,0))="세트",IF(COUNTA(E8:G8)&lt;3,"세트 옵션 선택",IF(D8&lt;&gt;"","사이즈 불필요","OK")),IF(COUNTA(E8:G8)&gt;0,"세트 옵션은 세트만",IF(D8&lt;&gt;"","사이즈 불필요","OK"))))))))</f>
        <v/>
      </c>
      <c r="M8" s="44"/>
      <c r="N8" s="45"/>
    </row>
    <row r="9">
      <c r="A9" s="32">
        <v>4.0</v>
      </c>
      <c r="B9" s="33"/>
      <c r="C9" s="33"/>
      <c r="D9" s="33"/>
      <c r="E9" s="33"/>
      <c r="F9" s="33"/>
      <c r="G9" s="33"/>
      <c r="H9" s="33"/>
      <c r="I9" s="20" t="str">
        <f t="array" ref="I9">IF(C9="","",IFERROR(INDEX('상품표'!$C$4:$C$18,MATCH(C9,'상품표'!$A$4:$A$18,0)),""))</f>
        <v/>
      </c>
      <c r="J9" s="20" t="str">
        <f>IF(I9="","",ROUND(I9*(1-'상품표'!$G$4),0))</f>
        <v/>
      </c>
      <c r="K9" s="20" t="str">
        <f t="shared" si="1"/>
        <v/>
      </c>
      <c r="L9" s="32" t="str">
        <f t="array" ref="L9">IF(C9="","",IF(ISNA(MATCH(C9,'상품표'!$A$4:$A$18,0)),"상품명 확인",IF(H9="","수량 입력",IF(FALSE,"",IF(INDEX('상품표'!$B$4:$B$18,MATCH(C9,'상품표'!$A$4:$A$18,0))="의류",IF(D9="","사이즈 선택",IF(AND(LEFT(C9,4)="후드집업",OR(D9="XXS",D9="XS")),"후드는 S부터",IF(COUNTA(E9:G9)&gt;0,"세트 옵션은 세트만","OK"))),IF(INDEX('상품표'!$B$4:$B$18,MATCH(C9,'상품표'!$A$4:$A$18,0))="세트",IF(COUNTA(E9:G9)&lt;3,"세트 옵션 선택",IF(D9&lt;&gt;"","사이즈 불필요","OK")),IF(COUNTA(E9:G9)&gt;0,"세트 옵션은 세트만",IF(D9&lt;&gt;"","사이즈 불필요","OK"))))))))</f>
        <v/>
      </c>
      <c r="M9" s="44"/>
      <c r="N9" s="45"/>
    </row>
    <row r="10">
      <c r="A10" s="32">
        <v>5.0</v>
      </c>
      <c r="B10" s="33"/>
      <c r="C10" s="33"/>
      <c r="D10" s="33"/>
      <c r="E10" s="33"/>
      <c r="F10" s="33"/>
      <c r="G10" s="33"/>
      <c r="H10" s="33"/>
      <c r="I10" s="20" t="str">
        <f t="array" ref="I10">IF(C10="","",IFERROR(INDEX('상품표'!$C$4:$C$18,MATCH(C10,'상품표'!$A$4:$A$18,0)),""))</f>
        <v/>
      </c>
      <c r="J10" s="20" t="str">
        <f>IF(I10="","",ROUND(I10*(1-'상품표'!$G$4),0))</f>
        <v/>
      </c>
      <c r="K10" s="20" t="str">
        <f t="shared" si="1"/>
        <v/>
      </c>
      <c r="L10" s="32" t="str">
        <f t="array" ref="L10">IF(C10="","",IF(ISNA(MATCH(C10,'상품표'!$A$4:$A$18,0)),"상품명 확인",IF(H10="","수량 입력",IF(FALSE,"",IF(INDEX('상품표'!$B$4:$B$18,MATCH(C10,'상품표'!$A$4:$A$18,0))="의류",IF(D10="","사이즈 선택",IF(AND(LEFT(C10,4)="후드집업",OR(D10="XXS",D10="XS")),"후드는 S부터",IF(COUNTA(E10:G10)&gt;0,"세트 옵션은 세트만","OK"))),IF(INDEX('상품표'!$B$4:$B$18,MATCH(C10,'상품표'!$A$4:$A$18,0))="세트",IF(COUNTA(E10:G10)&lt;3,"세트 옵션 선택",IF(D10&lt;&gt;"","사이즈 불필요","OK")),IF(COUNTA(E10:G10)&gt;0,"세트 옵션은 세트만",IF(D10&lt;&gt;"","사이즈 불필요","OK"))))))))</f>
        <v/>
      </c>
      <c r="M10" s="44"/>
      <c r="N10" s="45"/>
    </row>
    <row r="11">
      <c r="A11" s="32">
        <v>6.0</v>
      </c>
      <c r="B11" s="33"/>
      <c r="C11" s="33"/>
      <c r="D11" s="33"/>
      <c r="E11" s="33"/>
      <c r="F11" s="33"/>
      <c r="G11" s="33"/>
      <c r="H11" s="33"/>
      <c r="I11" s="20" t="str">
        <f t="array" ref="I11">IF(C11="","",IFERROR(INDEX('상품표'!$C$4:$C$18,MATCH(C11,'상품표'!$A$4:$A$18,0)),""))</f>
        <v/>
      </c>
      <c r="J11" s="20" t="str">
        <f>IF(I11="","",ROUND(I11*(1-'상품표'!$G$4),0))</f>
        <v/>
      </c>
      <c r="K11" s="20" t="str">
        <f t="shared" si="1"/>
        <v/>
      </c>
      <c r="L11" s="32" t="str">
        <f t="array" ref="L11">IF(C11="","",IF(ISNA(MATCH(C11,'상품표'!$A$4:$A$18,0)),"상품명 확인",IF(H11="","수량 입력",IF(FALSE,"",IF(INDEX('상품표'!$B$4:$B$18,MATCH(C11,'상품표'!$A$4:$A$18,0))="의류",IF(D11="","사이즈 선택",IF(AND(LEFT(C11,4)="후드집업",OR(D11="XXS",D11="XS")),"후드는 S부터",IF(COUNTA(E11:G11)&gt;0,"세트 옵션은 세트만","OK"))),IF(INDEX('상품표'!$B$4:$B$18,MATCH(C11,'상품표'!$A$4:$A$18,0))="세트",IF(COUNTA(E11:G11)&lt;3,"세트 옵션 선택",IF(D11&lt;&gt;"","사이즈 불필요","OK")),IF(COUNTA(E11:G11)&gt;0,"세트 옵션은 세트만",IF(D11&lt;&gt;"","사이즈 불필요","OK"))))))))</f>
        <v/>
      </c>
      <c r="M11" s="44"/>
      <c r="N11" s="45"/>
    </row>
    <row r="12">
      <c r="A12" s="32">
        <v>7.0</v>
      </c>
      <c r="B12" s="33"/>
      <c r="C12" s="33"/>
      <c r="D12" s="33"/>
      <c r="E12" s="33"/>
      <c r="F12" s="33"/>
      <c r="G12" s="33"/>
      <c r="H12" s="33"/>
      <c r="I12" s="20" t="str">
        <f t="array" ref="I12">IF(C12="","",IFERROR(INDEX('상품표'!$C$4:$C$18,MATCH(C12,'상품표'!$A$4:$A$18,0)),""))</f>
        <v/>
      </c>
      <c r="J12" s="20" t="str">
        <f>IF(I12="","",ROUND(I12*(1-'상품표'!$G$4),0))</f>
        <v/>
      </c>
      <c r="K12" s="20" t="str">
        <f t="shared" si="1"/>
        <v/>
      </c>
      <c r="L12" s="32" t="str">
        <f t="array" ref="L12">IF(C12="","",IF(ISNA(MATCH(C12,'상품표'!$A$4:$A$18,0)),"상품명 확인",IF(H12="","수량 입력",IF(FALSE,"",IF(INDEX('상품표'!$B$4:$B$18,MATCH(C12,'상품표'!$A$4:$A$18,0))="의류",IF(D12="","사이즈 선택",IF(AND(LEFT(C12,4)="후드집업",OR(D12="XXS",D12="XS")),"후드는 S부터",IF(COUNTA(E12:G12)&gt;0,"세트 옵션은 세트만","OK"))),IF(INDEX('상품표'!$B$4:$B$18,MATCH(C12,'상품표'!$A$4:$A$18,0))="세트",IF(COUNTA(E12:G12)&lt;3,"세트 옵션 선택",IF(D12&lt;&gt;"","사이즈 불필요","OK")),IF(COUNTA(E12:G12)&gt;0,"세트 옵션은 세트만",IF(D12&lt;&gt;"","사이즈 불필요","OK"))))))))</f>
        <v/>
      </c>
      <c r="M12" s="44"/>
      <c r="N12" s="45"/>
    </row>
    <row r="13">
      <c r="A13" s="32">
        <v>8.0</v>
      </c>
      <c r="B13" s="33"/>
      <c r="C13" s="33"/>
      <c r="D13" s="33"/>
      <c r="E13" s="33"/>
      <c r="F13" s="33"/>
      <c r="G13" s="33"/>
      <c r="H13" s="33"/>
      <c r="I13" s="20" t="str">
        <f t="array" ref="I13">IF(C13="","",IFERROR(INDEX('상품표'!$C$4:$C$18,MATCH(C13,'상품표'!$A$4:$A$18,0)),""))</f>
        <v/>
      </c>
      <c r="J13" s="20" t="str">
        <f>IF(I13="","",ROUND(I13*(1-'상품표'!$G$4),0))</f>
        <v/>
      </c>
      <c r="K13" s="20" t="str">
        <f t="shared" si="1"/>
        <v/>
      </c>
      <c r="L13" s="32" t="str">
        <f t="array" ref="L13">IF(C13="","",IF(ISNA(MATCH(C13,'상품표'!$A$4:$A$18,0)),"상품명 확인",IF(H13="","수량 입력",IF(FALSE,"",IF(INDEX('상품표'!$B$4:$B$18,MATCH(C13,'상품표'!$A$4:$A$18,0))="의류",IF(D13="","사이즈 선택",IF(AND(LEFT(C13,4)="후드집업",OR(D13="XXS",D13="XS")),"후드는 S부터",IF(COUNTA(E13:G13)&gt;0,"세트 옵션은 세트만","OK"))),IF(INDEX('상품표'!$B$4:$B$18,MATCH(C13,'상품표'!$A$4:$A$18,0))="세트",IF(COUNTA(E13:G13)&lt;3,"세트 옵션 선택",IF(D13&lt;&gt;"","사이즈 불필요","OK")),IF(COUNTA(E13:G13)&gt;0,"세트 옵션은 세트만",IF(D13&lt;&gt;"","사이즈 불필요","OK"))))))))</f>
        <v/>
      </c>
      <c r="M13" s="44"/>
      <c r="N13" s="45"/>
    </row>
    <row r="14">
      <c r="A14" s="32">
        <v>9.0</v>
      </c>
      <c r="B14" s="33"/>
      <c r="C14" s="33"/>
      <c r="D14" s="33"/>
      <c r="E14" s="33"/>
      <c r="F14" s="33"/>
      <c r="G14" s="33"/>
      <c r="H14" s="33"/>
      <c r="I14" s="20" t="str">
        <f t="array" ref="I14">IF(C14="","",IFERROR(INDEX('상품표'!$C$4:$C$18,MATCH(C14,'상품표'!$A$4:$A$18,0)),""))</f>
        <v/>
      </c>
      <c r="J14" s="20" t="str">
        <f>IF(I14="","",ROUND(I14*(1-'상품표'!$G$4),0))</f>
        <v/>
      </c>
      <c r="K14" s="20" t="str">
        <f t="shared" si="1"/>
        <v/>
      </c>
      <c r="L14" s="32" t="str">
        <f t="array" ref="L14">IF(C14="","",IF(ISNA(MATCH(C14,'상품표'!$A$4:$A$18,0)),"상품명 확인",IF(H14="","수량 입력",IF(FALSE,"",IF(INDEX('상품표'!$B$4:$B$18,MATCH(C14,'상품표'!$A$4:$A$18,0))="의류",IF(D14="","사이즈 선택",IF(AND(LEFT(C14,4)="후드집업",OR(D14="XXS",D14="XS")),"후드는 S부터",IF(COUNTA(E14:G14)&gt;0,"세트 옵션은 세트만","OK"))),IF(INDEX('상품표'!$B$4:$B$18,MATCH(C14,'상품표'!$A$4:$A$18,0))="세트",IF(COUNTA(E14:G14)&lt;3,"세트 옵션 선택",IF(D14&lt;&gt;"","사이즈 불필요","OK")),IF(COUNTA(E14:G14)&gt;0,"세트 옵션은 세트만",IF(D14&lt;&gt;"","사이즈 불필요","OK"))))))))</f>
        <v/>
      </c>
      <c r="M14" s="44"/>
      <c r="N14" s="45"/>
    </row>
    <row r="15">
      <c r="A15" s="32">
        <v>10.0</v>
      </c>
      <c r="B15" s="33"/>
      <c r="C15" s="33"/>
      <c r="D15" s="33"/>
      <c r="E15" s="33"/>
      <c r="F15" s="33"/>
      <c r="G15" s="33"/>
      <c r="H15" s="33"/>
      <c r="I15" s="20" t="str">
        <f t="array" ref="I15">IF(C15="","",IFERROR(INDEX('상품표'!$C$4:$C$18,MATCH(C15,'상품표'!$A$4:$A$18,0)),""))</f>
        <v/>
      </c>
      <c r="J15" s="20" t="str">
        <f>IF(I15="","",ROUND(I15*(1-'상품표'!$G$4),0))</f>
        <v/>
      </c>
      <c r="K15" s="20" t="str">
        <f t="shared" si="1"/>
        <v/>
      </c>
      <c r="L15" s="32" t="str">
        <f t="array" ref="L15">IF(C15="","",IF(ISNA(MATCH(C15,'상품표'!$A$4:$A$18,0)),"상품명 확인",IF(H15="","수량 입력",IF(FALSE,"",IF(INDEX('상품표'!$B$4:$B$18,MATCH(C15,'상품표'!$A$4:$A$18,0))="의류",IF(D15="","사이즈 선택",IF(AND(LEFT(C15,4)="후드집업",OR(D15="XXS",D15="XS")),"후드는 S부터",IF(COUNTA(E15:G15)&gt;0,"세트 옵션은 세트만","OK"))),IF(INDEX('상품표'!$B$4:$B$18,MATCH(C15,'상품표'!$A$4:$A$18,0))="세트",IF(COUNTA(E15:G15)&lt;3,"세트 옵션 선택",IF(D15&lt;&gt;"","사이즈 불필요","OK")),IF(COUNTA(E15:G15)&gt;0,"세트 옵션은 세트만",IF(D15&lt;&gt;"","사이즈 불필요","OK"))))))))</f>
        <v/>
      </c>
      <c r="M15" s="44"/>
      <c r="N15" s="45"/>
    </row>
    <row r="16">
      <c r="A16" s="32">
        <v>11.0</v>
      </c>
      <c r="B16" s="33"/>
      <c r="C16" s="33"/>
      <c r="D16" s="33"/>
      <c r="E16" s="33"/>
      <c r="F16" s="33"/>
      <c r="G16" s="33"/>
      <c r="H16" s="33"/>
      <c r="I16" s="20" t="str">
        <f t="array" ref="I16">IF(C16="","",IFERROR(INDEX('상품표'!$C$4:$C$18,MATCH(C16,'상품표'!$A$4:$A$18,0)),""))</f>
        <v/>
      </c>
      <c r="J16" s="20" t="str">
        <f>IF(I16="","",ROUND(I16*(1-'상품표'!$G$4),0))</f>
        <v/>
      </c>
      <c r="K16" s="20" t="str">
        <f t="shared" si="1"/>
        <v/>
      </c>
      <c r="L16" s="32" t="str">
        <f t="array" ref="L16">IF(C16="","",IF(ISNA(MATCH(C16,'상품표'!$A$4:$A$18,0)),"상품명 확인",IF(H16="","수량 입력",IF(FALSE,"",IF(INDEX('상품표'!$B$4:$B$18,MATCH(C16,'상품표'!$A$4:$A$18,0))="의류",IF(D16="","사이즈 선택",IF(AND(LEFT(C16,4)="후드집업",OR(D16="XXS",D16="XS")),"후드는 S부터",IF(COUNTA(E16:G16)&gt;0,"세트 옵션은 세트만","OK"))),IF(INDEX('상품표'!$B$4:$B$18,MATCH(C16,'상품표'!$A$4:$A$18,0))="세트",IF(COUNTA(E16:G16)&lt;3,"세트 옵션 선택",IF(D16&lt;&gt;"","사이즈 불필요","OK")),IF(COUNTA(E16:G16)&gt;0,"세트 옵션은 세트만",IF(D16&lt;&gt;"","사이즈 불필요","OK"))))))))</f>
        <v/>
      </c>
      <c r="M16" s="44"/>
      <c r="N16" s="45"/>
    </row>
    <row r="17">
      <c r="A17" s="32">
        <v>12.0</v>
      </c>
      <c r="B17" s="33"/>
      <c r="C17" s="33"/>
      <c r="D17" s="33"/>
      <c r="E17" s="33"/>
      <c r="F17" s="33"/>
      <c r="G17" s="33"/>
      <c r="H17" s="33"/>
      <c r="I17" s="20" t="str">
        <f t="array" ref="I17">IF(C17="","",IFERROR(INDEX('상품표'!$C$4:$C$18,MATCH(C17,'상품표'!$A$4:$A$18,0)),""))</f>
        <v/>
      </c>
      <c r="J17" s="20" t="str">
        <f>IF(I17="","",ROUND(I17*(1-'상품표'!$G$4),0))</f>
        <v/>
      </c>
      <c r="K17" s="20" t="str">
        <f t="shared" si="1"/>
        <v/>
      </c>
      <c r="L17" s="32" t="str">
        <f t="array" ref="L17">IF(C17="","",IF(ISNA(MATCH(C17,'상품표'!$A$4:$A$18,0)),"상품명 확인",IF(H17="","수량 입력",IF(FALSE,"",IF(INDEX('상품표'!$B$4:$B$18,MATCH(C17,'상품표'!$A$4:$A$18,0))="의류",IF(D17="","사이즈 선택",IF(AND(LEFT(C17,4)="후드집업",OR(D17="XXS",D17="XS")),"후드는 S부터",IF(COUNTA(E17:G17)&gt;0,"세트 옵션은 세트만","OK"))),IF(INDEX('상품표'!$B$4:$B$18,MATCH(C17,'상품표'!$A$4:$A$18,0))="세트",IF(COUNTA(E17:G17)&lt;3,"세트 옵션 선택",IF(D17&lt;&gt;"","사이즈 불필요","OK")),IF(COUNTA(E17:G17)&gt;0,"세트 옵션은 세트만",IF(D17&lt;&gt;"","사이즈 불필요","OK"))))))))</f>
        <v/>
      </c>
      <c r="M17" s="44"/>
      <c r="N17" s="45"/>
    </row>
    <row r="18">
      <c r="A18" s="32">
        <v>13.0</v>
      </c>
      <c r="B18" s="33"/>
      <c r="C18" s="33"/>
      <c r="D18" s="33"/>
      <c r="E18" s="33"/>
      <c r="F18" s="33"/>
      <c r="G18" s="33"/>
      <c r="H18" s="33"/>
      <c r="I18" s="20" t="str">
        <f t="array" ref="I18">IF(C18="","",IFERROR(INDEX('상품표'!$C$4:$C$18,MATCH(C18,'상품표'!$A$4:$A$18,0)),""))</f>
        <v/>
      </c>
      <c r="J18" s="20" t="str">
        <f>IF(I18="","",ROUND(I18*(1-'상품표'!$G$4),0))</f>
        <v/>
      </c>
      <c r="K18" s="20" t="str">
        <f t="shared" si="1"/>
        <v/>
      </c>
      <c r="L18" s="32" t="str">
        <f t="array" ref="L18">IF(C18="","",IF(ISNA(MATCH(C18,'상품표'!$A$4:$A$18,0)),"상품명 확인",IF(H18="","수량 입력",IF(FALSE,"",IF(INDEX('상품표'!$B$4:$B$18,MATCH(C18,'상품표'!$A$4:$A$18,0))="의류",IF(D18="","사이즈 선택",IF(AND(LEFT(C18,4)="후드집업",OR(D18="XXS",D18="XS")),"후드는 S부터",IF(COUNTA(E18:G18)&gt;0,"세트 옵션은 세트만","OK"))),IF(INDEX('상품표'!$B$4:$B$18,MATCH(C18,'상품표'!$A$4:$A$18,0))="세트",IF(COUNTA(E18:G18)&lt;3,"세트 옵션 선택",IF(D18&lt;&gt;"","사이즈 불필요","OK")),IF(COUNTA(E18:G18)&gt;0,"세트 옵션은 세트만",IF(D18&lt;&gt;"","사이즈 불필요","OK"))))))))</f>
        <v/>
      </c>
      <c r="M18" s="44"/>
      <c r="N18" s="45"/>
    </row>
    <row r="19">
      <c r="A19" s="32">
        <v>14.0</v>
      </c>
      <c r="B19" s="33"/>
      <c r="C19" s="33"/>
      <c r="D19" s="33"/>
      <c r="E19" s="33"/>
      <c r="F19" s="33"/>
      <c r="G19" s="33"/>
      <c r="H19" s="33"/>
      <c r="I19" s="20" t="str">
        <f t="array" ref="I19">IF(C19="","",IFERROR(INDEX('상품표'!$C$4:$C$18,MATCH(C19,'상품표'!$A$4:$A$18,0)),""))</f>
        <v/>
      </c>
      <c r="J19" s="20" t="str">
        <f>IF(I19="","",ROUND(I19*(1-'상품표'!$G$4),0))</f>
        <v/>
      </c>
      <c r="K19" s="20" t="str">
        <f t="shared" si="1"/>
        <v/>
      </c>
      <c r="L19" s="32" t="str">
        <f t="array" ref="L19">IF(C19="","",IF(ISNA(MATCH(C19,'상품표'!$A$4:$A$18,0)),"상품명 확인",IF(H19="","수량 입력",IF(FALSE,"",IF(INDEX('상품표'!$B$4:$B$18,MATCH(C19,'상품표'!$A$4:$A$18,0))="의류",IF(D19="","사이즈 선택",IF(AND(LEFT(C19,4)="후드집업",OR(D19="XXS",D19="XS")),"후드는 S부터",IF(COUNTA(E19:G19)&gt;0,"세트 옵션은 세트만","OK"))),IF(INDEX('상품표'!$B$4:$B$18,MATCH(C19,'상품표'!$A$4:$A$18,0))="세트",IF(COUNTA(E19:G19)&lt;3,"세트 옵션 선택",IF(D19&lt;&gt;"","사이즈 불필요","OK")),IF(COUNTA(E19:G19)&gt;0,"세트 옵션은 세트만",IF(D19&lt;&gt;"","사이즈 불필요","OK"))))))))</f>
        <v/>
      </c>
      <c r="M19" s="44"/>
      <c r="N19" s="45"/>
    </row>
    <row r="20">
      <c r="A20" s="32">
        <v>15.0</v>
      </c>
      <c r="B20" s="33"/>
      <c r="C20" s="33"/>
      <c r="D20" s="33"/>
      <c r="E20" s="33"/>
      <c r="F20" s="33"/>
      <c r="G20" s="33"/>
      <c r="H20" s="33"/>
      <c r="I20" s="20" t="str">
        <f t="array" ref="I20">IF(C20="","",IFERROR(INDEX('상품표'!$C$4:$C$18,MATCH(C20,'상품표'!$A$4:$A$18,0)),""))</f>
        <v/>
      </c>
      <c r="J20" s="20" t="str">
        <f>IF(I20="","",ROUND(I20*(1-'상품표'!$G$4),0))</f>
        <v/>
      </c>
      <c r="K20" s="20" t="str">
        <f t="shared" si="1"/>
        <v/>
      </c>
      <c r="L20" s="32" t="str">
        <f t="array" ref="L20">IF(C20="","",IF(ISNA(MATCH(C20,'상품표'!$A$4:$A$18,0)),"상품명 확인",IF(H20="","수량 입력",IF(FALSE,"",IF(INDEX('상품표'!$B$4:$B$18,MATCH(C20,'상품표'!$A$4:$A$18,0))="의류",IF(D20="","사이즈 선택",IF(AND(LEFT(C20,4)="후드집업",OR(D20="XXS",D20="XS")),"후드는 S부터",IF(COUNTA(E20:G20)&gt;0,"세트 옵션은 세트만","OK"))),IF(INDEX('상품표'!$B$4:$B$18,MATCH(C20,'상품표'!$A$4:$A$18,0))="세트",IF(COUNTA(E20:G20)&lt;3,"세트 옵션 선택",IF(D20&lt;&gt;"","사이즈 불필요","OK")),IF(COUNTA(E20:G20)&gt;0,"세트 옵션은 세트만",IF(D20&lt;&gt;"","사이즈 불필요","OK"))))))))</f>
        <v/>
      </c>
      <c r="M20" s="44"/>
      <c r="N20" s="45"/>
    </row>
    <row r="21" ht="15.75" customHeight="1">
      <c r="A21" s="32">
        <v>16.0</v>
      </c>
      <c r="B21" s="33"/>
      <c r="C21" s="33"/>
      <c r="D21" s="33"/>
      <c r="E21" s="33"/>
      <c r="F21" s="33"/>
      <c r="G21" s="33"/>
      <c r="H21" s="33"/>
      <c r="I21" s="20" t="str">
        <f t="array" ref="I21">IF(C21="","",IFERROR(INDEX('상품표'!$C$4:$C$18,MATCH(C21,'상품표'!$A$4:$A$18,0)),""))</f>
        <v/>
      </c>
      <c r="J21" s="20" t="str">
        <f>IF(I21="","",ROUND(I21*(1-'상품표'!$G$4),0))</f>
        <v/>
      </c>
      <c r="K21" s="20" t="str">
        <f t="shared" si="1"/>
        <v/>
      </c>
      <c r="L21" s="32" t="str">
        <f t="array" ref="L21">IF(C21="","",IF(ISNA(MATCH(C21,'상품표'!$A$4:$A$18,0)),"상품명 확인",IF(H21="","수량 입력",IF(FALSE,"",IF(INDEX('상품표'!$B$4:$B$18,MATCH(C21,'상품표'!$A$4:$A$18,0))="의류",IF(D21="","사이즈 선택",IF(AND(LEFT(C21,4)="후드집업",OR(D21="XXS",D21="XS")),"후드는 S부터",IF(COUNTA(E21:G21)&gt;0,"세트 옵션은 세트만","OK"))),IF(INDEX('상품표'!$B$4:$B$18,MATCH(C21,'상품표'!$A$4:$A$18,0))="세트",IF(COUNTA(E21:G21)&lt;3,"세트 옵션 선택",IF(D21&lt;&gt;"","사이즈 불필요","OK")),IF(COUNTA(E21:G21)&gt;0,"세트 옵션은 세트만",IF(D21&lt;&gt;"","사이즈 불필요","OK"))))))))</f>
        <v/>
      </c>
      <c r="M21" s="44"/>
      <c r="N21" s="45"/>
    </row>
    <row r="22" ht="15.75" customHeight="1">
      <c r="A22" s="32">
        <v>17.0</v>
      </c>
      <c r="B22" s="33"/>
      <c r="C22" s="33"/>
      <c r="D22" s="33"/>
      <c r="E22" s="33"/>
      <c r="F22" s="33"/>
      <c r="G22" s="33"/>
      <c r="H22" s="33"/>
      <c r="I22" s="20" t="str">
        <f t="array" ref="I22">IF(C22="","",IFERROR(INDEX('상품표'!$C$4:$C$18,MATCH(C22,'상품표'!$A$4:$A$18,0)),""))</f>
        <v/>
      </c>
      <c r="J22" s="20" t="str">
        <f>IF(I22="","",ROUND(I22*(1-'상품표'!$G$4),0))</f>
        <v/>
      </c>
      <c r="K22" s="20" t="str">
        <f t="shared" si="1"/>
        <v/>
      </c>
      <c r="L22" s="32" t="str">
        <f t="array" ref="L22">IF(C22="","",IF(ISNA(MATCH(C22,'상품표'!$A$4:$A$18,0)),"상품명 확인",IF(H22="","수량 입력",IF(FALSE,"",IF(INDEX('상품표'!$B$4:$B$18,MATCH(C22,'상품표'!$A$4:$A$18,0))="의류",IF(D22="","사이즈 선택",IF(AND(LEFT(C22,4)="후드집업",OR(D22="XXS",D22="XS")),"후드는 S부터",IF(COUNTA(E22:G22)&gt;0,"세트 옵션은 세트만","OK"))),IF(INDEX('상품표'!$B$4:$B$18,MATCH(C22,'상품표'!$A$4:$A$18,0))="세트",IF(COUNTA(E22:G22)&lt;3,"세트 옵션 선택",IF(D22&lt;&gt;"","사이즈 불필요","OK")),IF(COUNTA(E22:G22)&gt;0,"세트 옵션은 세트만",IF(D22&lt;&gt;"","사이즈 불필요","OK"))))))))</f>
        <v/>
      </c>
      <c r="M22" s="44"/>
      <c r="N22" s="45"/>
    </row>
    <row r="23" ht="15.75" customHeight="1">
      <c r="A23" s="32">
        <v>18.0</v>
      </c>
      <c r="B23" s="33"/>
      <c r="C23" s="33"/>
      <c r="D23" s="33"/>
      <c r="E23" s="33"/>
      <c r="F23" s="33"/>
      <c r="G23" s="33"/>
      <c r="H23" s="33"/>
      <c r="I23" s="20" t="str">
        <f t="array" ref="I23">IF(C23="","",IFERROR(INDEX('상품표'!$C$4:$C$18,MATCH(C23,'상품표'!$A$4:$A$18,0)),""))</f>
        <v/>
      </c>
      <c r="J23" s="20" t="str">
        <f>IF(I23="","",ROUND(I23*(1-'상품표'!$G$4),0))</f>
        <v/>
      </c>
      <c r="K23" s="20" t="str">
        <f t="shared" si="1"/>
        <v/>
      </c>
      <c r="L23" s="32" t="str">
        <f t="array" ref="L23">IF(C23="","",IF(ISNA(MATCH(C23,'상품표'!$A$4:$A$18,0)),"상품명 확인",IF(H23="","수량 입력",IF(FALSE,"",IF(INDEX('상품표'!$B$4:$B$18,MATCH(C23,'상품표'!$A$4:$A$18,0))="의류",IF(D23="","사이즈 선택",IF(AND(LEFT(C23,4)="후드집업",OR(D23="XXS",D23="XS")),"후드는 S부터",IF(COUNTA(E23:G23)&gt;0,"세트 옵션은 세트만","OK"))),IF(INDEX('상품표'!$B$4:$B$18,MATCH(C23,'상품표'!$A$4:$A$18,0))="세트",IF(COUNTA(E23:G23)&lt;3,"세트 옵션 선택",IF(D23&lt;&gt;"","사이즈 불필요","OK")),IF(COUNTA(E23:G23)&gt;0,"세트 옵션은 세트만",IF(D23&lt;&gt;"","사이즈 불필요","OK"))))))))</f>
        <v/>
      </c>
      <c r="M23" s="44"/>
      <c r="N23" s="45"/>
    </row>
    <row r="24" ht="15.75" customHeight="1">
      <c r="A24" s="32">
        <v>19.0</v>
      </c>
      <c r="B24" s="33"/>
      <c r="C24" s="33"/>
      <c r="D24" s="33"/>
      <c r="E24" s="33"/>
      <c r="F24" s="33"/>
      <c r="G24" s="33"/>
      <c r="H24" s="33"/>
      <c r="I24" s="20" t="str">
        <f t="array" ref="I24">IF(C24="","",IFERROR(INDEX('상품표'!$C$4:$C$18,MATCH(C24,'상품표'!$A$4:$A$18,0)),""))</f>
        <v/>
      </c>
      <c r="J24" s="20" t="str">
        <f>IF(I24="","",ROUND(I24*(1-'상품표'!$G$4),0))</f>
        <v/>
      </c>
      <c r="K24" s="20" t="str">
        <f t="shared" si="1"/>
        <v/>
      </c>
      <c r="L24" s="32" t="str">
        <f t="array" ref="L24">IF(C24="","",IF(ISNA(MATCH(C24,'상품표'!$A$4:$A$18,0)),"상품명 확인",IF(H24="","수량 입력",IF(FALSE,"",IF(INDEX('상품표'!$B$4:$B$18,MATCH(C24,'상품표'!$A$4:$A$18,0))="의류",IF(D24="","사이즈 선택",IF(AND(LEFT(C24,4)="후드집업",OR(D24="XXS",D24="XS")),"후드는 S부터",IF(COUNTA(E24:G24)&gt;0,"세트 옵션은 세트만","OK"))),IF(INDEX('상품표'!$B$4:$B$18,MATCH(C24,'상품표'!$A$4:$A$18,0))="세트",IF(COUNTA(E24:G24)&lt;3,"세트 옵션 선택",IF(D24&lt;&gt;"","사이즈 불필요","OK")),IF(COUNTA(E24:G24)&gt;0,"세트 옵션은 세트만",IF(D24&lt;&gt;"","사이즈 불필요","OK"))))))))</f>
        <v/>
      </c>
      <c r="M24" s="44"/>
      <c r="N24" s="45"/>
    </row>
    <row r="25" ht="15.75" customHeight="1">
      <c r="A25" s="32">
        <v>20.0</v>
      </c>
      <c r="B25" s="33"/>
      <c r="C25" s="33"/>
      <c r="D25" s="33"/>
      <c r="E25" s="33"/>
      <c r="F25" s="33"/>
      <c r="G25" s="33"/>
      <c r="H25" s="33"/>
      <c r="I25" s="20" t="str">
        <f t="array" ref="I25">IF(C25="","",IFERROR(INDEX('상품표'!$C$4:$C$18,MATCH(C25,'상품표'!$A$4:$A$18,0)),""))</f>
        <v/>
      </c>
      <c r="J25" s="20" t="str">
        <f>IF(I25="","",ROUND(I25*(1-'상품표'!$G$4),0))</f>
        <v/>
      </c>
      <c r="K25" s="20" t="str">
        <f t="shared" si="1"/>
        <v/>
      </c>
      <c r="L25" s="32" t="str">
        <f t="array" ref="L25">IF(C25="","",IF(ISNA(MATCH(C25,'상품표'!$A$4:$A$18,0)),"상품명 확인",IF(H25="","수량 입력",IF(FALSE,"",IF(INDEX('상품표'!$B$4:$B$18,MATCH(C25,'상품표'!$A$4:$A$18,0))="의류",IF(D25="","사이즈 선택",IF(AND(LEFT(C25,4)="후드집업",OR(D25="XXS",D25="XS")),"후드는 S부터",IF(COUNTA(E25:G25)&gt;0,"세트 옵션은 세트만","OK"))),IF(INDEX('상품표'!$B$4:$B$18,MATCH(C25,'상품표'!$A$4:$A$18,0))="세트",IF(COUNTA(E25:G25)&lt;3,"세트 옵션 선택",IF(D25&lt;&gt;"","사이즈 불필요","OK")),IF(COUNTA(E25:G25)&gt;0,"세트 옵션은 세트만",IF(D25&lt;&gt;"","사이즈 불필요","OK"))))))))</f>
        <v/>
      </c>
      <c r="M25" s="44"/>
      <c r="N25" s="45"/>
    </row>
    <row r="26" ht="15.75" customHeight="1">
      <c r="A26" s="32">
        <v>21.0</v>
      </c>
      <c r="B26" s="33"/>
      <c r="C26" s="33"/>
      <c r="D26" s="33"/>
      <c r="E26" s="33"/>
      <c r="F26" s="33"/>
      <c r="G26" s="33"/>
      <c r="H26" s="33"/>
      <c r="I26" s="20" t="str">
        <f t="array" ref="I26">IF(C26="","",IFERROR(INDEX('상품표'!$C$4:$C$18,MATCH(C26,'상품표'!$A$4:$A$18,0)),""))</f>
        <v/>
      </c>
      <c r="J26" s="20" t="str">
        <f>IF(I26="","",ROUND(I26*(1-'상품표'!$G$4),0))</f>
        <v/>
      </c>
      <c r="K26" s="20" t="str">
        <f t="shared" si="1"/>
        <v/>
      </c>
      <c r="L26" s="32" t="str">
        <f t="array" ref="L26">IF(C26="","",IF(ISNA(MATCH(C26,'상품표'!$A$4:$A$18,0)),"상품명 확인",IF(H26="","수량 입력",IF(FALSE,"",IF(INDEX('상품표'!$B$4:$B$18,MATCH(C26,'상품표'!$A$4:$A$18,0))="의류",IF(D26="","사이즈 선택",IF(AND(LEFT(C26,4)="후드집업",OR(D26="XXS",D26="XS")),"후드는 S부터",IF(COUNTA(E26:G26)&gt;0,"세트 옵션은 세트만","OK"))),IF(INDEX('상품표'!$B$4:$B$18,MATCH(C26,'상품표'!$A$4:$A$18,0))="세트",IF(COUNTA(E26:G26)&lt;3,"세트 옵션 선택",IF(D26&lt;&gt;"","사이즈 불필요","OK")),IF(COUNTA(E26:G26)&gt;0,"세트 옵션은 세트만",IF(D26&lt;&gt;"","사이즈 불필요","OK"))))))))</f>
        <v/>
      </c>
      <c r="M26" s="44"/>
      <c r="N26" s="45"/>
    </row>
    <row r="27" ht="15.75" customHeight="1">
      <c r="A27" s="32">
        <v>22.0</v>
      </c>
      <c r="B27" s="33"/>
      <c r="C27" s="33"/>
      <c r="D27" s="33"/>
      <c r="E27" s="33"/>
      <c r="F27" s="33"/>
      <c r="G27" s="33"/>
      <c r="H27" s="33"/>
      <c r="I27" s="20" t="str">
        <f t="array" ref="I27">IF(C27="","",IFERROR(INDEX('상품표'!$C$4:$C$18,MATCH(C27,'상품표'!$A$4:$A$18,0)),""))</f>
        <v/>
      </c>
      <c r="J27" s="20" t="str">
        <f>IF(I27="","",ROUND(I27*(1-'상품표'!$G$4),0))</f>
        <v/>
      </c>
      <c r="K27" s="20" t="str">
        <f t="shared" si="1"/>
        <v/>
      </c>
      <c r="L27" s="32" t="str">
        <f t="array" ref="L27">IF(C27="","",IF(ISNA(MATCH(C27,'상품표'!$A$4:$A$18,0)),"상품명 확인",IF(H27="","수량 입력",IF(FALSE,"",IF(INDEX('상품표'!$B$4:$B$18,MATCH(C27,'상품표'!$A$4:$A$18,0))="의류",IF(D27="","사이즈 선택",IF(AND(LEFT(C27,4)="후드집업",OR(D27="XXS",D27="XS")),"후드는 S부터",IF(COUNTA(E27:G27)&gt;0,"세트 옵션은 세트만","OK"))),IF(INDEX('상품표'!$B$4:$B$18,MATCH(C27,'상품표'!$A$4:$A$18,0))="세트",IF(COUNTA(E27:G27)&lt;3,"세트 옵션 선택",IF(D27&lt;&gt;"","사이즈 불필요","OK")),IF(COUNTA(E27:G27)&gt;0,"세트 옵션은 세트만",IF(D27&lt;&gt;"","사이즈 불필요","OK"))))))))</f>
        <v/>
      </c>
      <c r="M27" s="44"/>
      <c r="N27" s="45"/>
    </row>
    <row r="28" ht="15.75" customHeight="1">
      <c r="A28" s="32">
        <v>23.0</v>
      </c>
      <c r="B28" s="33"/>
      <c r="C28" s="33"/>
      <c r="D28" s="33"/>
      <c r="E28" s="33"/>
      <c r="F28" s="33"/>
      <c r="G28" s="33"/>
      <c r="H28" s="33"/>
      <c r="I28" s="20" t="str">
        <f t="array" ref="I28">IF(C28="","",IFERROR(INDEX('상품표'!$C$4:$C$18,MATCH(C28,'상품표'!$A$4:$A$18,0)),""))</f>
        <v/>
      </c>
      <c r="J28" s="20" t="str">
        <f>IF(I28="","",ROUND(I28*(1-'상품표'!$G$4),0))</f>
        <v/>
      </c>
      <c r="K28" s="20" t="str">
        <f t="shared" si="1"/>
        <v/>
      </c>
      <c r="L28" s="32" t="str">
        <f t="array" ref="L28">IF(C28="","",IF(ISNA(MATCH(C28,'상품표'!$A$4:$A$18,0)),"상품명 확인",IF(H28="","수량 입력",IF(FALSE,"",IF(INDEX('상품표'!$B$4:$B$18,MATCH(C28,'상품표'!$A$4:$A$18,0))="의류",IF(D28="","사이즈 선택",IF(AND(LEFT(C28,4)="후드집업",OR(D28="XXS",D28="XS")),"후드는 S부터",IF(COUNTA(E28:G28)&gt;0,"세트 옵션은 세트만","OK"))),IF(INDEX('상품표'!$B$4:$B$18,MATCH(C28,'상품표'!$A$4:$A$18,0))="세트",IF(COUNTA(E28:G28)&lt;3,"세트 옵션 선택",IF(D28&lt;&gt;"","사이즈 불필요","OK")),IF(COUNTA(E28:G28)&gt;0,"세트 옵션은 세트만",IF(D28&lt;&gt;"","사이즈 불필요","OK"))))))))</f>
        <v/>
      </c>
      <c r="M28" s="44"/>
      <c r="N28" s="45"/>
    </row>
    <row r="29" ht="15.75" customHeight="1">
      <c r="A29" s="32">
        <v>24.0</v>
      </c>
      <c r="B29" s="33"/>
      <c r="C29" s="33"/>
      <c r="D29" s="33"/>
      <c r="E29" s="33"/>
      <c r="F29" s="33"/>
      <c r="G29" s="33"/>
      <c r="H29" s="33"/>
      <c r="I29" s="20" t="str">
        <f t="array" ref="I29">IF(C29="","",IFERROR(INDEX('상품표'!$C$4:$C$18,MATCH(C29,'상품표'!$A$4:$A$18,0)),""))</f>
        <v/>
      </c>
      <c r="J29" s="20" t="str">
        <f>IF(I29="","",ROUND(I29*(1-'상품표'!$G$4),0))</f>
        <v/>
      </c>
      <c r="K29" s="20" t="str">
        <f t="shared" si="1"/>
        <v/>
      </c>
      <c r="L29" s="32" t="str">
        <f t="array" ref="L29">IF(C29="","",IF(ISNA(MATCH(C29,'상품표'!$A$4:$A$18,0)),"상품명 확인",IF(H29="","수량 입력",IF(FALSE,"",IF(INDEX('상품표'!$B$4:$B$18,MATCH(C29,'상품표'!$A$4:$A$18,0))="의류",IF(D29="","사이즈 선택",IF(AND(LEFT(C29,4)="후드집업",OR(D29="XXS",D29="XS")),"후드는 S부터",IF(COUNTA(E29:G29)&gt;0,"세트 옵션은 세트만","OK"))),IF(INDEX('상품표'!$B$4:$B$18,MATCH(C29,'상품표'!$A$4:$A$18,0))="세트",IF(COUNTA(E29:G29)&lt;3,"세트 옵션 선택",IF(D29&lt;&gt;"","사이즈 불필요","OK")),IF(COUNTA(E29:G29)&gt;0,"세트 옵션은 세트만",IF(D29&lt;&gt;"","사이즈 불필요","OK"))))))))</f>
        <v/>
      </c>
      <c r="M29" s="44"/>
      <c r="N29" s="45"/>
    </row>
    <row r="30" ht="15.75" customHeight="1">
      <c r="A30" s="32">
        <v>25.0</v>
      </c>
      <c r="B30" s="33"/>
      <c r="C30" s="33"/>
      <c r="D30" s="33"/>
      <c r="E30" s="33"/>
      <c r="F30" s="33"/>
      <c r="G30" s="33"/>
      <c r="H30" s="33"/>
      <c r="I30" s="20" t="str">
        <f t="array" ref="I30">IF(C30="","",IFERROR(INDEX('상품표'!$C$4:$C$18,MATCH(C30,'상품표'!$A$4:$A$18,0)),""))</f>
        <v/>
      </c>
      <c r="J30" s="20" t="str">
        <f>IF(I30="","",ROUND(I30*(1-'상품표'!$G$4),0))</f>
        <v/>
      </c>
      <c r="K30" s="20" t="str">
        <f t="shared" si="1"/>
        <v/>
      </c>
      <c r="L30" s="32" t="str">
        <f t="array" ref="L30">IF(C30="","",IF(ISNA(MATCH(C30,'상품표'!$A$4:$A$18,0)),"상품명 확인",IF(H30="","수량 입력",IF(FALSE,"",IF(INDEX('상품표'!$B$4:$B$18,MATCH(C30,'상품표'!$A$4:$A$18,0))="의류",IF(D30="","사이즈 선택",IF(AND(LEFT(C30,4)="후드집업",OR(D30="XXS",D30="XS")),"후드는 S부터",IF(COUNTA(E30:G30)&gt;0,"세트 옵션은 세트만","OK"))),IF(INDEX('상품표'!$B$4:$B$18,MATCH(C30,'상품표'!$A$4:$A$18,0))="세트",IF(COUNTA(E30:G30)&lt;3,"세트 옵션 선택",IF(D30&lt;&gt;"","사이즈 불필요","OK")),IF(COUNTA(E30:G30)&gt;0,"세트 옵션은 세트만",IF(D30&lt;&gt;"","사이즈 불필요","OK"))))))))</f>
        <v/>
      </c>
      <c r="M30" s="44"/>
      <c r="N30" s="45"/>
    </row>
    <row r="31" ht="15.75" customHeight="1">
      <c r="A31" s="32">
        <v>26.0</v>
      </c>
      <c r="B31" s="33"/>
      <c r="C31" s="33"/>
      <c r="D31" s="33"/>
      <c r="E31" s="33"/>
      <c r="F31" s="33"/>
      <c r="G31" s="33"/>
      <c r="H31" s="33"/>
      <c r="I31" s="20" t="str">
        <f t="array" ref="I31">IF(C31="","",IFERROR(INDEX('상품표'!$C$4:$C$18,MATCH(C31,'상품표'!$A$4:$A$18,0)),""))</f>
        <v/>
      </c>
      <c r="J31" s="20" t="str">
        <f>IF(I31="","",ROUND(I31*(1-'상품표'!$G$4),0))</f>
        <v/>
      </c>
      <c r="K31" s="20" t="str">
        <f t="shared" si="1"/>
        <v/>
      </c>
      <c r="L31" s="32" t="str">
        <f t="array" ref="L31">IF(C31="","",IF(ISNA(MATCH(C31,'상품표'!$A$4:$A$18,0)),"상품명 확인",IF(H31="","수량 입력",IF(FALSE,"",IF(INDEX('상품표'!$B$4:$B$18,MATCH(C31,'상품표'!$A$4:$A$18,0))="의류",IF(D31="","사이즈 선택",IF(AND(LEFT(C31,4)="후드집업",OR(D31="XXS",D31="XS")),"후드는 S부터",IF(COUNTA(E31:G31)&gt;0,"세트 옵션은 세트만","OK"))),IF(INDEX('상품표'!$B$4:$B$18,MATCH(C31,'상품표'!$A$4:$A$18,0))="세트",IF(COUNTA(E31:G31)&lt;3,"세트 옵션 선택",IF(D31&lt;&gt;"","사이즈 불필요","OK")),IF(COUNTA(E31:G31)&gt;0,"세트 옵션은 세트만",IF(D31&lt;&gt;"","사이즈 불필요","OK"))))))))</f>
        <v/>
      </c>
      <c r="M31" s="44"/>
      <c r="N31" s="45"/>
    </row>
    <row r="32" ht="15.75" customHeight="1">
      <c r="A32" s="32">
        <v>27.0</v>
      </c>
      <c r="B32" s="33"/>
      <c r="C32" s="33"/>
      <c r="D32" s="33"/>
      <c r="E32" s="33"/>
      <c r="F32" s="33"/>
      <c r="G32" s="33"/>
      <c r="H32" s="33"/>
      <c r="I32" s="20" t="str">
        <f t="array" ref="I32">IF(C32="","",IFERROR(INDEX('상품표'!$C$4:$C$18,MATCH(C32,'상품표'!$A$4:$A$18,0)),""))</f>
        <v/>
      </c>
      <c r="J32" s="20" t="str">
        <f>IF(I32="","",ROUND(I32*(1-'상품표'!$G$4),0))</f>
        <v/>
      </c>
      <c r="K32" s="20" t="str">
        <f t="shared" si="1"/>
        <v/>
      </c>
      <c r="L32" s="32" t="str">
        <f t="array" ref="L32">IF(C32="","",IF(ISNA(MATCH(C32,'상품표'!$A$4:$A$18,0)),"상품명 확인",IF(H32="","수량 입력",IF(FALSE,"",IF(INDEX('상품표'!$B$4:$B$18,MATCH(C32,'상품표'!$A$4:$A$18,0))="의류",IF(D32="","사이즈 선택",IF(AND(LEFT(C32,4)="후드집업",OR(D32="XXS",D32="XS")),"후드는 S부터",IF(COUNTA(E32:G32)&gt;0,"세트 옵션은 세트만","OK"))),IF(INDEX('상품표'!$B$4:$B$18,MATCH(C32,'상품표'!$A$4:$A$18,0))="세트",IF(COUNTA(E32:G32)&lt;3,"세트 옵션 선택",IF(D32&lt;&gt;"","사이즈 불필요","OK")),IF(COUNTA(E32:G32)&gt;0,"세트 옵션은 세트만",IF(D32&lt;&gt;"","사이즈 불필요","OK"))))))))</f>
        <v/>
      </c>
      <c r="M32" s="44"/>
      <c r="N32" s="45"/>
    </row>
    <row r="33" ht="15.75" customHeight="1">
      <c r="A33" s="32">
        <v>28.0</v>
      </c>
      <c r="B33" s="33"/>
      <c r="C33" s="33"/>
      <c r="D33" s="33"/>
      <c r="E33" s="33"/>
      <c r="F33" s="33"/>
      <c r="G33" s="33"/>
      <c r="H33" s="33"/>
      <c r="I33" s="20" t="str">
        <f t="array" ref="I33">IF(C33="","",IFERROR(INDEX('상품표'!$C$4:$C$18,MATCH(C33,'상품표'!$A$4:$A$18,0)),""))</f>
        <v/>
      </c>
      <c r="J33" s="20" t="str">
        <f>IF(I33="","",ROUND(I33*(1-'상품표'!$G$4),0))</f>
        <v/>
      </c>
      <c r="K33" s="20" t="str">
        <f t="shared" si="1"/>
        <v/>
      </c>
      <c r="L33" s="32" t="str">
        <f t="array" ref="L33">IF(C33="","",IF(ISNA(MATCH(C33,'상품표'!$A$4:$A$18,0)),"상품명 확인",IF(H33="","수량 입력",IF(FALSE,"",IF(INDEX('상품표'!$B$4:$B$18,MATCH(C33,'상품표'!$A$4:$A$18,0))="의류",IF(D33="","사이즈 선택",IF(AND(LEFT(C33,4)="후드집업",OR(D33="XXS",D33="XS")),"후드는 S부터",IF(COUNTA(E33:G33)&gt;0,"세트 옵션은 세트만","OK"))),IF(INDEX('상품표'!$B$4:$B$18,MATCH(C33,'상품표'!$A$4:$A$18,0))="세트",IF(COUNTA(E33:G33)&lt;3,"세트 옵션 선택",IF(D33&lt;&gt;"","사이즈 불필요","OK")),IF(COUNTA(E33:G33)&gt;0,"세트 옵션은 세트만",IF(D33&lt;&gt;"","사이즈 불필요","OK"))))))))</f>
        <v/>
      </c>
      <c r="M33" s="44"/>
      <c r="N33" s="45"/>
    </row>
    <row r="34" ht="15.75" customHeight="1">
      <c r="A34" s="32">
        <v>29.0</v>
      </c>
      <c r="B34" s="33"/>
      <c r="C34" s="33"/>
      <c r="D34" s="33"/>
      <c r="E34" s="33"/>
      <c r="F34" s="33"/>
      <c r="G34" s="33"/>
      <c r="H34" s="33"/>
      <c r="I34" s="20" t="str">
        <f t="array" ref="I34">IF(C34="","",IFERROR(INDEX('상품표'!$C$4:$C$18,MATCH(C34,'상품표'!$A$4:$A$18,0)),""))</f>
        <v/>
      </c>
      <c r="J34" s="20" t="str">
        <f>IF(I34="","",ROUND(I34*(1-'상품표'!$G$4),0))</f>
        <v/>
      </c>
      <c r="K34" s="20" t="str">
        <f t="shared" si="1"/>
        <v/>
      </c>
      <c r="L34" s="32" t="str">
        <f t="array" ref="L34">IF(C34="","",IF(ISNA(MATCH(C34,'상품표'!$A$4:$A$18,0)),"상품명 확인",IF(H34="","수량 입력",IF(FALSE,"",IF(INDEX('상품표'!$B$4:$B$18,MATCH(C34,'상품표'!$A$4:$A$18,0))="의류",IF(D34="","사이즈 선택",IF(AND(LEFT(C34,4)="후드집업",OR(D34="XXS",D34="XS")),"후드는 S부터",IF(COUNTA(E34:G34)&gt;0,"세트 옵션은 세트만","OK"))),IF(INDEX('상품표'!$B$4:$B$18,MATCH(C34,'상품표'!$A$4:$A$18,0))="세트",IF(COUNTA(E34:G34)&lt;3,"세트 옵션 선택",IF(D34&lt;&gt;"","사이즈 불필요","OK")),IF(COUNTA(E34:G34)&gt;0,"세트 옵션은 세트만",IF(D34&lt;&gt;"","사이즈 불필요","OK"))))))))</f>
        <v/>
      </c>
      <c r="M34" s="44"/>
      <c r="N34" s="45"/>
    </row>
    <row r="35" ht="15.75" customHeight="1">
      <c r="A35" s="32">
        <v>30.0</v>
      </c>
      <c r="B35" s="33"/>
      <c r="C35" s="33"/>
      <c r="D35" s="33"/>
      <c r="E35" s="33"/>
      <c r="F35" s="33"/>
      <c r="G35" s="33"/>
      <c r="H35" s="33"/>
      <c r="I35" s="20" t="str">
        <f t="array" ref="I35">IF(C35="","",IFERROR(INDEX('상품표'!$C$4:$C$18,MATCH(C35,'상품표'!$A$4:$A$18,0)),""))</f>
        <v/>
      </c>
      <c r="J35" s="20" t="str">
        <f>IF(I35="","",ROUND(I35*(1-'상품표'!$G$4),0))</f>
        <v/>
      </c>
      <c r="K35" s="20" t="str">
        <f t="shared" si="1"/>
        <v/>
      </c>
      <c r="L35" s="32" t="str">
        <f t="array" ref="L35">IF(C35="","",IF(ISNA(MATCH(C35,'상품표'!$A$4:$A$18,0)),"상품명 확인",IF(H35="","수량 입력",IF(FALSE,"",IF(INDEX('상품표'!$B$4:$B$18,MATCH(C35,'상품표'!$A$4:$A$18,0))="의류",IF(D35="","사이즈 선택",IF(AND(LEFT(C35,4)="후드집업",OR(D35="XXS",D35="XS")),"후드는 S부터",IF(COUNTA(E35:G35)&gt;0,"세트 옵션은 세트만","OK"))),IF(INDEX('상품표'!$B$4:$B$18,MATCH(C35,'상품표'!$A$4:$A$18,0))="세트",IF(COUNTA(E35:G35)&lt;3,"세트 옵션 선택",IF(D35&lt;&gt;"","사이즈 불필요","OK")),IF(COUNTA(E35:G35)&gt;0,"세트 옵션은 세트만",IF(D35&lt;&gt;"","사이즈 불필요","OK"))))))))</f>
        <v/>
      </c>
      <c r="M35" s="44"/>
      <c r="N35" s="45"/>
    </row>
    <row r="36" ht="15.75" customHeight="1">
      <c r="A36" s="32">
        <v>31.0</v>
      </c>
      <c r="B36" s="33"/>
      <c r="C36" s="33"/>
      <c r="D36" s="33"/>
      <c r="E36" s="33"/>
      <c r="F36" s="33"/>
      <c r="G36" s="33"/>
      <c r="H36" s="33"/>
      <c r="I36" s="20" t="str">
        <f t="array" ref="I36">IF(C36="","",IFERROR(INDEX('상품표'!$C$4:$C$18,MATCH(C36,'상품표'!$A$4:$A$18,0)),""))</f>
        <v/>
      </c>
      <c r="J36" s="20" t="str">
        <f>IF(I36="","",ROUND(I36*(1-'상품표'!$G$4),0))</f>
        <v/>
      </c>
      <c r="K36" s="20" t="str">
        <f t="shared" si="1"/>
        <v/>
      </c>
      <c r="L36" s="32" t="str">
        <f t="array" ref="L36">IF(C36="","",IF(ISNA(MATCH(C36,'상품표'!$A$4:$A$18,0)),"상품명 확인",IF(H36="","수량 입력",IF(FALSE,"",IF(INDEX('상품표'!$B$4:$B$18,MATCH(C36,'상품표'!$A$4:$A$18,0))="의류",IF(D36="","사이즈 선택",IF(AND(LEFT(C36,4)="후드집업",OR(D36="XXS",D36="XS")),"후드는 S부터",IF(COUNTA(E36:G36)&gt;0,"세트 옵션은 세트만","OK"))),IF(INDEX('상품표'!$B$4:$B$18,MATCH(C36,'상품표'!$A$4:$A$18,0))="세트",IF(COUNTA(E36:G36)&lt;3,"세트 옵션 선택",IF(D36&lt;&gt;"","사이즈 불필요","OK")),IF(COUNTA(E36:G36)&gt;0,"세트 옵션은 세트만",IF(D36&lt;&gt;"","사이즈 불필요","OK"))))))))</f>
        <v/>
      </c>
      <c r="M36" s="44"/>
      <c r="N36" s="45"/>
    </row>
    <row r="37" ht="15.75" customHeight="1">
      <c r="A37" s="32">
        <v>32.0</v>
      </c>
      <c r="B37" s="33"/>
      <c r="C37" s="33"/>
      <c r="D37" s="33"/>
      <c r="E37" s="33"/>
      <c r="F37" s="33"/>
      <c r="G37" s="33"/>
      <c r="H37" s="33"/>
      <c r="I37" s="20" t="str">
        <f t="array" ref="I37">IF(C37="","",IFERROR(INDEX('상품표'!$C$4:$C$18,MATCH(C37,'상품표'!$A$4:$A$18,0)),""))</f>
        <v/>
      </c>
      <c r="J37" s="20" t="str">
        <f>IF(I37="","",ROUND(I37*(1-'상품표'!$G$4),0))</f>
        <v/>
      </c>
      <c r="K37" s="20" t="str">
        <f t="shared" si="1"/>
        <v/>
      </c>
      <c r="L37" s="32" t="str">
        <f t="array" ref="L37">IF(C37="","",IF(ISNA(MATCH(C37,'상품표'!$A$4:$A$18,0)),"상품명 확인",IF(H37="","수량 입력",IF(FALSE,"",IF(INDEX('상품표'!$B$4:$B$18,MATCH(C37,'상품표'!$A$4:$A$18,0))="의류",IF(D37="","사이즈 선택",IF(AND(LEFT(C37,4)="후드집업",OR(D37="XXS",D37="XS")),"후드는 S부터",IF(COUNTA(E37:G37)&gt;0,"세트 옵션은 세트만","OK"))),IF(INDEX('상품표'!$B$4:$B$18,MATCH(C37,'상품표'!$A$4:$A$18,0))="세트",IF(COUNTA(E37:G37)&lt;3,"세트 옵션 선택",IF(D37&lt;&gt;"","사이즈 불필요","OK")),IF(COUNTA(E37:G37)&gt;0,"세트 옵션은 세트만",IF(D37&lt;&gt;"","사이즈 불필요","OK"))))))))</f>
        <v/>
      </c>
      <c r="M37" s="44"/>
      <c r="N37" s="45"/>
    </row>
    <row r="38" ht="15.75" customHeight="1">
      <c r="A38" s="32">
        <v>33.0</v>
      </c>
      <c r="B38" s="33"/>
      <c r="C38" s="33"/>
      <c r="D38" s="33"/>
      <c r="E38" s="33"/>
      <c r="F38" s="33"/>
      <c r="G38" s="33"/>
      <c r="H38" s="33"/>
      <c r="I38" s="20" t="str">
        <f t="array" ref="I38">IF(C38="","",IFERROR(INDEX('상품표'!$C$4:$C$18,MATCH(C38,'상품표'!$A$4:$A$18,0)),""))</f>
        <v/>
      </c>
      <c r="J38" s="20" t="str">
        <f>IF(I38="","",ROUND(I38*(1-'상품표'!$G$4),0))</f>
        <v/>
      </c>
      <c r="K38" s="20" t="str">
        <f t="shared" si="1"/>
        <v/>
      </c>
      <c r="L38" s="32" t="str">
        <f t="array" ref="L38">IF(C38="","",IF(ISNA(MATCH(C38,'상품표'!$A$4:$A$18,0)),"상품명 확인",IF(H38="","수량 입력",IF(FALSE,"",IF(INDEX('상품표'!$B$4:$B$18,MATCH(C38,'상품표'!$A$4:$A$18,0))="의류",IF(D38="","사이즈 선택",IF(AND(LEFT(C38,4)="후드집업",OR(D38="XXS",D38="XS")),"후드는 S부터",IF(COUNTA(E38:G38)&gt;0,"세트 옵션은 세트만","OK"))),IF(INDEX('상품표'!$B$4:$B$18,MATCH(C38,'상품표'!$A$4:$A$18,0))="세트",IF(COUNTA(E38:G38)&lt;3,"세트 옵션 선택",IF(D38&lt;&gt;"","사이즈 불필요","OK")),IF(COUNTA(E38:G38)&gt;0,"세트 옵션은 세트만",IF(D38&lt;&gt;"","사이즈 불필요","OK"))))))))</f>
        <v/>
      </c>
      <c r="M38" s="44"/>
      <c r="N38" s="45"/>
    </row>
    <row r="39" ht="15.75" customHeight="1">
      <c r="A39" s="32">
        <v>34.0</v>
      </c>
      <c r="B39" s="33"/>
      <c r="C39" s="33"/>
      <c r="D39" s="33"/>
      <c r="E39" s="33"/>
      <c r="F39" s="33"/>
      <c r="G39" s="33"/>
      <c r="H39" s="33"/>
      <c r="I39" s="20" t="str">
        <f t="array" ref="I39">IF(C39="","",IFERROR(INDEX('상품표'!$C$4:$C$18,MATCH(C39,'상품표'!$A$4:$A$18,0)),""))</f>
        <v/>
      </c>
      <c r="J39" s="20" t="str">
        <f>IF(I39="","",ROUND(I39*(1-'상품표'!$G$4),0))</f>
        <v/>
      </c>
      <c r="K39" s="20" t="str">
        <f t="shared" si="1"/>
        <v/>
      </c>
      <c r="L39" s="32" t="str">
        <f t="array" ref="L39">IF(C39="","",IF(ISNA(MATCH(C39,'상품표'!$A$4:$A$18,0)),"상품명 확인",IF(H39="","수량 입력",IF(FALSE,"",IF(INDEX('상품표'!$B$4:$B$18,MATCH(C39,'상품표'!$A$4:$A$18,0))="의류",IF(D39="","사이즈 선택",IF(AND(LEFT(C39,4)="후드집업",OR(D39="XXS",D39="XS")),"후드는 S부터",IF(COUNTA(E39:G39)&gt;0,"세트 옵션은 세트만","OK"))),IF(INDEX('상품표'!$B$4:$B$18,MATCH(C39,'상품표'!$A$4:$A$18,0))="세트",IF(COUNTA(E39:G39)&lt;3,"세트 옵션 선택",IF(D39&lt;&gt;"","사이즈 불필요","OK")),IF(COUNTA(E39:G39)&gt;0,"세트 옵션은 세트만",IF(D39&lt;&gt;"","사이즈 불필요","OK"))))))))</f>
        <v/>
      </c>
      <c r="M39" s="44"/>
      <c r="N39" s="45"/>
    </row>
    <row r="40" ht="15.75" customHeight="1">
      <c r="A40" s="32">
        <v>35.0</v>
      </c>
      <c r="B40" s="33"/>
      <c r="C40" s="33"/>
      <c r="D40" s="33"/>
      <c r="E40" s="33"/>
      <c r="F40" s="33"/>
      <c r="G40" s="33"/>
      <c r="H40" s="33"/>
      <c r="I40" s="20" t="str">
        <f t="array" ref="I40">IF(C40="","",IFERROR(INDEX('상품표'!$C$4:$C$18,MATCH(C40,'상품표'!$A$4:$A$18,0)),""))</f>
        <v/>
      </c>
      <c r="J40" s="20" t="str">
        <f>IF(I40="","",ROUND(I40*(1-'상품표'!$G$4),0))</f>
        <v/>
      </c>
      <c r="K40" s="20" t="str">
        <f t="shared" si="1"/>
        <v/>
      </c>
      <c r="L40" s="32" t="str">
        <f t="array" ref="L40">IF(C40="","",IF(ISNA(MATCH(C40,'상품표'!$A$4:$A$18,0)),"상품명 확인",IF(H40="","수량 입력",IF(FALSE,"",IF(INDEX('상품표'!$B$4:$B$18,MATCH(C40,'상품표'!$A$4:$A$18,0))="의류",IF(D40="","사이즈 선택",IF(AND(LEFT(C40,4)="후드집업",OR(D40="XXS",D40="XS")),"후드는 S부터",IF(COUNTA(E40:G40)&gt;0,"세트 옵션은 세트만","OK"))),IF(INDEX('상품표'!$B$4:$B$18,MATCH(C40,'상품표'!$A$4:$A$18,0))="세트",IF(COUNTA(E40:G40)&lt;3,"세트 옵션 선택",IF(D40&lt;&gt;"","사이즈 불필요","OK")),IF(COUNTA(E40:G40)&gt;0,"세트 옵션은 세트만",IF(D40&lt;&gt;"","사이즈 불필요","OK"))))))))</f>
        <v/>
      </c>
      <c r="M40" s="44"/>
      <c r="N40" s="45"/>
    </row>
    <row r="41" ht="15.75" customHeight="1">
      <c r="A41" s="32">
        <v>36.0</v>
      </c>
      <c r="B41" s="33"/>
      <c r="C41" s="33"/>
      <c r="D41" s="33"/>
      <c r="E41" s="33"/>
      <c r="F41" s="33"/>
      <c r="G41" s="33"/>
      <c r="H41" s="33"/>
      <c r="I41" s="20" t="str">
        <f t="array" ref="I41">IF(C41="","",IFERROR(INDEX('상품표'!$C$4:$C$18,MATCH(C41,'상품표'!$A$4:$A$18,0)),""))</f>
        <v/>
      </c>
      <c r="J41" s="20" t="str">
        <f>IF(I41="","",ROUND(I41*(1-'상품표'!$G$4),0))</f>
        <v/>
      </c>
      <c r="K41" s="20" t="str">
        <f t="shared" si="1"/>
        <v/>
      </c>
      <c r="L41" s="32" t="str">
        <f t="array" ref="L41">IF(C41="","",IF(ISNA(MATCH(C41,'상품표'!$A$4:$A$18,0)),"상품명 확인",IF(H41="","수량 입력",IF(FALSE,"",IF(INDEX('상품표'!$B$4:$B$18,MATCH(C41,'상품표'!$A$4:$A$18,0))="의류",IF(D41="","사이즈 선택",IF(AND(LEFT(C41,4)="후드집업",OR(D41="XXS",D41="XS")),"후드는 S부터",IF(COUNTA(E41:G41)&gt;0,"세트 옵션은 세트만","OK"))),IF(INDEX('상품표'!$B$4:$B$18,MATCH(C41,'상품표'!$A$4:$A$18,0))="세트",IF(COUNTA(E41:G41)&lt;3,"세트 옵션 선택",IF(D41&lt;&gt;"","사이즈 불필요","OK")),IF(COUNTA(E41:G41)&gt;0,"세트 옵션은 세트만",IF(D41&lt;&gt;"","사이즈 불필요","OK"))))))))</f>
        <v/>
      </c>
      <c r="M41" s="44"/>
      <c r="N41" s="45"/>
    </row>
    <row r="42" ht="15.75" customHeight="1">
      <c r="A42" s="32">
        <v>37.0</v>
      </c>
      <c r="B42" s="33"/>
      <c r="C42" s="33"/>
      <c r="D42" s="33"/>
      <c r="E42" s="33"/>
      <c r="F42" s="33"/>
      <c r="G42" s="33"/>
      <c r="H42" s="33"/>
      <c r="I42" s="20" t="str">
        <f t="array" ref="I42">IF(C42="","",IFERROR(INDEX('상품표'!$C$4:$C$18,MATCH(C42,'상품표'!$A$4:$A$18,0)),""))</f>
        <v/>
      </c>
      <c r="J42" s="20" t="str">
        <f>IF(I42="","",ROUND(I42*(1-'상품표'!$G$4),0))</f>
        <v/>
      </c>
      <c r="K42" s="20" t="str">
        <f t="shared" si="1"/>
        <v/>
      </c>
      <c r="L42" s="32" t="str">
        <f t="array" ref="L42">IF(C42="","",IF(ISNA(MATCH(C42,'상품표'!$A$4:$A$18,0)),"상품명 확인",IF(H42="","수량 입력",IF(FALSE,"",IF(INDEX('상품표'!$B$4:$B$18,MATCH(C42,'상품표'!$A$4:$A$18,0))="의류",IF(D42="","사이즈 선택",IF(AND(LEFT(C42,4)="후드집업",OR(D42="XXS",D42="XS")),"후드는 S부터",IF(COUNTA(E42:G42)&gt;0,"세트 옵션은 세트만","OK"))),IF(INDEX('상품표'!$B$4:$B$18,MATCH(C42,'상품표'!$A$4:$A$18,0))="세트",IF(COUNTA(E42:G42)&lt;3,"세트 옵션 선택",IF(D42&lt;&gt;"","사이즈 불필요","OK")),IF(COUNTA(E42:G42)&gt;0,"세트 옵션은 세트만",IF(D42&lt;&gt;"","사이즈 불필요","OK"))))))))</f>
        <v/>
      </c>
      <c r="M42" s="44"/>
      <c r="N42" s="45"/>
    </row>
    <row r="43" ht="15.75" customHeight="1">
      <c r="A43" s="32">
        <v>38.0</v>
      </c>
      <c r="B43" s="33"/>
      <c r="C43" s="33"/>
      <c r="D43" s="33"/>
      <c r="E43" s="33"/>
      <c r="F43" s="33"/>
      <c r="G43" s="33"/>
      <c r="H43" s="33"/>
      <c r="I43" s="20" t="str">
        <f t="array" ref="I43">IF(C43="","",IFERROR(INDEX('상품표'!$C$4:$C$18,MATCH(C43,'상품표'!$A$4:$A$18,0)),""))</f>
        <v/>
      </c>
      <c r="J43" s="20" t="str">
        <f>IF(I43="","",ROUND(I43*(1-'상품표'!$G$4),0))</f>
        <v/>
      </c>
      <c r="K43" s="20" t="str">
        <f t="shared" si="1"/>
        <v/>
      </c>
      <c r="L43" s="32" t="str">
        <f t="array" ref="L43">IF(C43="","",IF(ISNA(MATCH(C43,'상품표'!$A$4:$A$18,0)),"상품명 확인",IF(H43="","수량 입력",IF(FALSE,"",IF(INDEX('상품표'!$B$4:$B$18,MATCH(C43,'상품표'!$A$4:$A$18,0))="의류",IF(D43="","사이즈 선택",IF(AND(LEFT(C43,4)="후드집업",OR(D43="XXS",D43="XS")),"후드는 S부터",IF(COUNTA(E43:G43)&gt;0,"세트 옵션은 세트만","OK"))),IF(INDEX('상품표'!$B$4:$B$18,MATCH(C43,'상품표'!$A$4:$A$18,0))="세트",IF(COUNTA(E43:G43)&lt;3,"세트 옵션 선택",IF(D43&lt;&gt;"","사이즈 불필요","OK")),IF(COUNTA(E43:G43)&gt;0,"세트 옵션은 세트만",IF(D43&lt;&gt;"","사이즈 불필요","OK"))))))))</f>
        <v/>
      </c>
      <c r="M43" s="44"/>
      <c r="N43" s="45"/>
    </row>
    <row r="44" ht="15.75" customHeight="1">
      <c r="A44" s="32">
        <v>39.0</v>
      </c>
      <c r="B44" s="33"/>
      <c r="C44" s="33"/>
      <c r="D44" s="33"/>
      <c r="E44" s="33"/>
      <c r="F44" s="33"/>
      <c r="G44" s="33"/>
      <c r="H44" s="33"/>
      <c r="I44" s="20" t="str">
        <f t="array" ref="I44">IF(C44="","",IFERROR(INDEX('상품표'!$C$4:$C$18,MATCH(C44,'상품표'!$A$4:$A$18,0)),""))</f>
        <v/>
      </c>
      <c r="J44" s="20" t="str">
        <f>IF(I44="","",ROUND(I44*(1-'상품표'!$G$4),0))</f>
        <v/>
      </c>
      <c r="K44" s="20" t="str">
        <f t="shared" si="1"/>
        <v/>
      </c>
      <c r="L44" s="32" t="str">
        <f t="array" ref="L44">IF(C44="","",IF(ISNA(MATCH(C44,'상품표'!$A$4:$A$18,0)),"상품명 확인",IF(H44="","수량 입력",IF(FALSE,"",IF(INDEX('상품표'!$B$4:$B$18,MATCH(C44,'상품표'!$A$4:$A$18,0))="의류",IF(D44="","사이즈 선택",IF(AND(LEFT(C44,4)="후드집업",OR(D44="XXS",D44="XS")),"후드는 S부터",IF(COUNTA(E44:G44)&gt;0,"세트 옵션은 세트만","OK"))),IF(INDEX('상품표'!$B$4:$B$18,MATCH(C44,'상품표'!$A$4:$A$18,0))="세트",IF(COUNTA(E44:G44)&lt;3,"세트 옵션 선택",IF(D44&lt;&gt;"","사이즈 불필요","OK")),IF(COUNTA(E44:G44)&gt;0,"세트 옵션은 세트만",IF(D44&lt;&gt;"","사이즈 불필요","OK"))))))))</f>
        <v/>
      </c>
      <c r="M44" s="44"/>
      <c r="N44" s="45"/>
    </row>
    <row r="45" ht="15.75" customHeight="1">
      <c r="A45" s="32">
        <v>40.0</v>
      </c>
      <c r="B45" s="33"/>
      <c r="C45" s="33"/>
      <c r="D45" s="33"/>
      <c r="E45" s="33"/>
      <c r="F45" s="33"/>
      <c r="G45" s="33"/>
      <c r="H45" s="33"/>
      <c r="I45" s="20" t="str">
        <f t="array" ref="I45">IF(C45="","",IFERROR(INDEX('상품표'!$C$4:$C$18,MATCH(C45,'상품표'!$A$4:$A$18,0)),""))</f>
        <v/>
      </c>
      <c r="J45" s="20" t="str">
        <f>IF(I45="","",ROUND(I45*(1-'상품표'!$G$4),0))</f>
        <v/>
      </c>
      <c r="K45" s="20" t="str">
        <f t="shared" si="1"/>
        <v/>
      </c>
      <c r="L45" s="32" t="str">
        <f t="array" ref="L45">IF(C45="","",IF(ISNA(MATCH(C45,'상품표'!$A$4:$A$18,0)),"상품명 확인",IF(H45="","수량 입력",IF(FALSE,"",IF(INDEX('상품표'!$B$4:$B$18,MATCH(C45,'상품표'!$A$4:$A$18,0))="의류",IF(D45="","사이즈 선택",IF(AND(LEFT(C45,4)="후드집업",OR(D45="XXS",D45="XS")),"후드는 S부터",IF(COUNTA(E45:G45)&gt;0,"세트 옵션은 세트만","OK"))),IF(INDEX('상품표'!$B$4:$B$18,MATCH(C45,'상품표'!$A$4:$A$18,0))="세트",IF(COUNTA(E45:G45)&lt;3,"세트 옵션 선택",IF(D45&lt;&gt;"","사이즈 불필요","OK")),IF(COUNTA(E45:G45)&gt;0,"세트 옵션은 세트만",IF(D45&lt;&gt;"","사이즈 불필요","OK"))))))))</f>
        <v/>
      </c>
      <c r="M45" s="44"/>
      <c r="N45" s="45"/>
    </row>
    <row r="46" ht="15.75" customHeight="1">
      <c r="A46" s="32">
        <v>41.0</v>
      </c>
      <c r="B46" s="33"/>
      <c r="C46" s="33"/>
      <c r="D46" s="33"/>
      <c r="E46" s="33"/>
      <c r="F46" s="33"/>
      <c r="G46" s="33"/>
      <c r="H46" s="33"/>
      <c r="I46" s="20" t="str">
        <f t="array" ref="I46">IF(C46="","",IFERROR(INDEX('상품표'!$C$4:$C$18,MATCH(C46,'상품표'!$A$4:$A$18,0)),""))</f>
        <v/>
      </c>
      <c r="J46" s="20" t="str">
        <f>IF(I46="","",ROUND(I46*(1-'상품표'!$G$4),0))</f>
        <v/>
      </c>
      <c r="K46" s="20" t="str">
        <f t="shared" si="1"/>
        <v/>
      </c>
      <c r="L46" s="32" t="str">
        <f t="array" ref="L46">IF(C46="","",IF(ISNA(MATCH(C46,'상품표'!$A$4:$A$18,0)),"상품명 확인",IF(H46="","수량 입력",IF(FALSE,"",IF(INDEX('상품표'!$B$4:$B$18,MATCH(C46,'상품표'!$A$4:$A$18,0))="의류",IF(D46="","사이즈 선택",IF(AND(LEFT(C46,4)="후드집업",OR(D46="XXS",D46="XS")),"후드는 S부터",IF(COUNTA(E46:G46)&gt;0,"세트 옵션은 세트만","OK"))),IF(INDEX('상품표'!$B$4:$B$18,MATCH(C46,'상품표'!$A$4:$A$18,0))="세트",IF(COUNTA(E46:G46)&lt;3,"세트 옵션 선택",IF(D46&lt;&gt;"","사이즈 불필요","OK")),IF(COUNTA(E46:G46)&gt;0,"세트 옵션은 세트만",IF(D46&lt;&gt;"","사이즈 불필요","OK"))))))))</f>
        <v/>
      </c>
      <c r="M46" s="44"/>
      <c r="N46" s="45"/>
    </row>
    <row r="47" ht="15.75" customHeight="1">
      <c r="A47" s="32">
        <v>42.0</v>
      </c>
      <c r="B47" s="33"/>
      <c r="C47" s="33"/>
      <c r="D47" s="33"/>
      <c r="E47" s="33"/>
      <c r="F47" s="33"/>
      <c r="G47" s="33"/>
      <c r="H47" s="33"/>
      <c r="I47" s="20" t="str">
        <f t="array" ref="I47">IF(C47="","",IFERROR(INDEX('상품표'!$C$4:$C$18,MATCH(C47,'상품표'!$A$4:$A$18,0)),""))</f>
        <v/>
      </c>
      <c r="J47" s="20" t="str">
        <f>IF(I47="","",ROUND(I47*(1-'상품표'!$G$4),0))</f>
        <v/>
      </c>
      <c r="K47" s="20" t="str">
        <f t="shared" si="1"/>
        <v/>
      </c>
      <c r="L47" s="32" t="str">
        <f t="array" ref="L47">IF(C47="","",IF(ISNA(MATCH(C47,'상품표'!$A$4:$A$18,0)),"상품명 확인",IF(H47="","수량 입력",IF(FALSE,"",IF(INDEX('상품표'!$B$4:$B$18,MATCH(C47,'상품표'!$A$4:$A$18,0))="의류",IF(D47="","사이즈 선택",IF(AND(LEFT(C47,4)="후드집업",OR(D47="XXS",D47="XS")),"후드는 S부터",IF(COUNTA(E47:G47)&gt;0,"세트 옵션은 세트만","OK"))),IF(INDEX('상품표'!$B$4:$B$18,MATCH(C47,'상품표'!$A$4:$A$18,0))="세트",IF(COUNTA(E47:G47)&lt;3,"세트 옵션 선택",IF(D47&lt;&gt;"","사이즈 불필요","OK")),IF(COUNTA(E47:G47)&gt;0,"세트 옵션은 세트만",IF(D47&lt;&gt;"","사이즈 불필요","OK"))))))))</f>
        <v/>
      </c>
      <c r="M47" s="44"/>
      <c r="N47" s="45"/>
    </row>
    <row r="48" ht="15.75" customHeight="1">
      <c r="A48" s="32">
        <v>43.0</v>
      </c>
      <c r="B48" s="33"/>
      <c r="C48" s="33"/>
      <c r="D48" s="33"/>
      <c r="E48" s="33"/>
      <c r="F48" s="33"/>
      <c r="G48" s="33"/>
      <c r="H48" s="33"/>
      <c r="I48" s="20" t="str">
        <f t="array" ref="I48">IF(C48="","",IFERROR(INDEX('상품표'!$C$4:$C$18,MATCH(C48,'상품표'!$A$4:$A$18,0)),""))</f>
        <v/>
      </c>
      <c r="J48" s="20" t="str">
        <f>IF(I48="","",ROUND(I48*(1-'상품표'!$G$4),0))</f>
        <v/>
      </c>
      <c r="K48" s="20" t="str">
        <f t="shared" si="1"/>
        <v/>
      </c>
      <c r="L48" s="32" t="str">
        <f t="array" ref="L48">IF(C48="","",IF(ISNA(MATCH(C48,'상품표'!$A$4:$A$18,0)),"상품명 확인",IF(H48="","수량 입력",IF(FALSE,"",IF(INDEX('상품표'!$B$4:$B$18,MATCH(C48,'상품표'!$A$4:$A$18,0))="의류",IF(D48="","사이즈 선택",IF(AND(LEFT(C48,4)="후드집업",OR(D48="XXS",D48="XS")),"후드는 S부터",IF(COUNTA(E48:G48)&gt;0,"세트 옵션은 세트만","OK"))),IF(INDEX('상품표'!$B$4:$B$18,MATCH(C48,'상품표'!$A$4:$A$18,0))="세트",IF(COUNTA(E48:G48)&lt;3,"세트 옵션 선택",IF(D48&lt;&gt;"","사이즈 불필요","OK")),IF(COUNTA(E48:G48)&gt;0,"세트 옵션은 세트만",IF(D48&lt;&gt;"","사이즈 불필요","OK"))))))))</f>
        <v/>
      </c>
      <c r="M48" s="44"/>
      <c r="N48" s="45"/>
    </row>
    <row r="49" ht="15.75" customHeight="1">
      <c r="A49" s="32">
        <v>44.0</v>
      </c>
      <c r="B49" s="33"/>
      <c r="C49" s="33"/>
      <c r="D49" s="33"/>
      <c r="E49" s="33"/>
      <c r="F49" s="33"/>
      <c r="G49" s="33"/>
      <c r="H49" s="33"/>
      <c r="I49" s="20" t="str">
        <f t="array" ref="I49">IF(C49="","",IFERROR(INDEX('상품표'!$C$4:$C$18,MATCH(C49,'상품표'!$A$4:$A$18,0)),""))</f>
        <v/>
      </c>
      <c r="J49" s="20" t="str">
        <f>IF(I49="","",ROUND(I49*(1-'상품표'!$G$4),0))</f>
        <v/>
      </c>
      <c r="K49" s="20" t="str">
        <f t="shared" si="1"/>
        <v/>
      </c>
      <c r="L49" s="32" t="str">
        <f t="array" ref="L49">IF(C49="","",IF(ISNA(MATCH(C49,'상품표'!$A$4:$A$18,0)),"상품명 확인",IF(H49="","수량 입력",IF(FALSE,"",IF(INDEX('상품표'!$B$4:$B$18,MATCH(C49,'상품표'!$A$4:$A$18,0))="의류",IF(D49="","사이즈 선택",IF(AND(LEFT(C49,4)="후드집업",OR(D49="XXS",D49="XS")),"후드는 S부터",IF(COUNTA(E49:G49)&gt;0,"세트 옵션은 세트만","OK"))),IF(INDEX('상품표'!$B$4:$B$18,MATCH(C49,'상품표'!$A$4:$A$18,0))="세트",IF(COUNTA(E49:G49)&lt;3,"세트 옵션 선택",IF(D49&lt;&gt;"","사이즈 불필요","OK")),IF(COUNTA(E49:G49)&gt;0,"세트 옵션은 세트만",IF(D49&lt;&gt;"","사이즈 불필요","OK"))))))))</f>
        <v/>
      </c>
      <c r="M49" s="44"/>
      <c r="N49" s="45"/>
    </row>
    <row r="50" ht="15.75" customHeight="1">
      <c r="A50" s="32">
        <v>45.0</v>
      </c>
      <c r="B50" s="33"/>
      <c r="C50" s="33"/>
      <c r="D50" s="33"/>
      <c r="E50" s="33"/>
      <c r="F50" s="33"/>
      <c r="G50" s="33"/>
      <c r="H50" s="33"/>
      <c r="I50" s="20" t="str">
        <f t="array" ref="I50">IF(C50="","",IFERROR(INDEX('상품표'!$C$4:$C$18,MATCH(C50,'상품표'!$A$4:$A$18,0)),""))</f>
        <v/>
      </c>
      <c r="J50" s="20" t="str">
        <f>IF(I50="","",ROUND(I50*(1-'상품표'!$G$4),0))</f>
        <v/>
      </c>
      <c r="K50" s="20" t="str">
        <f t="shared" si="1"/>
        <v/>
      </c>
      <c r="L50" s="32" t="str">
        <f t="array" ref="L50">IF(C50="","",IF(ISNA(MATCH(C50,'상품표'!$A$4:$A$18,0)),"상품명 확인",IF(H50="","수량 입력",IF(FALSE,"",IF(INDEX('상품표'!$B$4:$B$18,MATCH(C50,'상품표'!$A$4:$A$18,0))="의류",IF(D50="","사이즈 선택",IF(AND(LEFT(C50,4)="후드집업",OR(D50="XXS",D50="XS")),"후드는 S부터",IF(COUNTA(E50:G50)&gt;0,"세트 옵션은 세트만","OK"))),IF(INDEX('상품표'!$B$4:$B$18,MATCH(C50,'상품표'!$A$4:$A$18,0))="세트",IF(COUNTA(E50:G50)&lt;3,"세트 옵션 선택",IF(D50&lt;&gt;"","사이즈 불필요","OK")),IF(COUNTA(E50:G50)&gt;0,"세트 옵션은 세트만",IF(D50&lt;&gt;"","사이즈 불필요","OK"))))))))</f>
        <v/>
      </c>
      <c r="M50" s="44"/>
      <c r="N50" s="45"/>
    </row>
    <row r="51" ht="15.75" customHeight="1">
      <c r="A51" s="32">
        <v>46.0</v>
      </c>
      <c r="B51" s="33"/>
      <c r="C51" s="33"/>
      <c r="D51" s="33"/>
      <c r="E51" s="33"/>
      <c r="F51" s="33"/>
      <c r="G51" s="33"/>
      <c r="H51" s="33"/>
      <c r="I51" s="20" t="str">
        <f t="array" ref="I51">IF(C51="","",IFERROR(INDEX('상품표'!$C$4:$C$18,MATCH(C51,'상품표'!$A$4:$A$18,0)),""))</f>
        <v/>
      </c>
      <c r="J51" s="20" t="str">
        <f>IF(I51="","",ROUND(I51*(1-'상품표'!$G$4),0))</f>
        <v/>
      </c>
      <c r="K51" s="20" t="str">
        <f t="shared" si="1"/>
        <v/>
      </c>
      <c r="L51" s="32" t="str">
        <f t="array" ref="L51">IF(C51="","",IF(ISNA(MATCH(C51,'상품표'!$A$4:$A$18,0)),"상품명 확인",IF(H51="","수량 입력",IF(FALSE,"",IF(INDEX('상품표'!$B$4:$B$18,MATCH(C51,'상품표'!$A$4:$A$18,0))="의류",IF(D51="","사이즈 선택",IF(AND(LEFT(C51,4)="후드집업",OR(D51="XXS",D51="XS")),"후드는 S부터",IF(COUNTA(E51:G51)&gt;0,"세트 옵션은 세트만","OK"))),IF(INDEX('상품표'!$B$4:$B$18,MATCH(C51,'상품표'!$A$4:$A$18,0))="세트",IF(COUNTA(E51:G51)&lt;3,"세트 옵션 선택",IF(D51&lt;&gt;"","사이즈 불필요","OK")),IF(COUNTA(E51:G51)&gt;0,"세트 옵션은 세트만",IF(D51&lt;&gt;"","사이즈 불필요","OK"))))))))</f>
        <v/>
      </c>
      <c r="M51" s="44"/>
      <c r="N51" s="45"/>
    </row>
    <row r="52" ht="15.75" customHeight="1">
      <c r="A52" s="32">
        <v>47.0</v>
      </c>
      <c r="B52" s="33"/>
      <c r="C52" s="33"/>
      <c r="D52" s="33"/>
      <c r="E52" s="33"/>
      <c r="F52" s="33"/>
      <c r="G52" s="33"/>
      <c r="H52" s="33"/>
      <c r="I52" s="20" t="str">
        <f t="array" ref="I52">IF(C52="","",IFERROR(INDEX('상품표'!$C$4:$C$18,MATCH(C52,'상품표'!$A$4:$A$18,0)),""))</f>
        <v/>
      </c>
      <c r="J52" s="20" t="str">
        <f>IF(I52="","",ROUND(I52*(1-'상품표'!$G$4),0))</f>
        <v/>
      </c>
      <c r="K52" s="20" t="str">
        <f t="shared" si="1"/>
        <v/>
      </c>
      <c r="L52" s="32" t="str">
        <f t="array" ref="L52">IF(C52="","",IF(ISNA(MATCH(C52,'상품표'!$A$4:$A$18,0)),"상품명 확인",IF(H52="","수량 입력",IF(FALSE,"",IF(INDEX('상품표'!$B$4:$B$18,MATCH(C52,'상품표'!$A$4:$A$18,0))="의류",IF(D52="","사이즈 선택",IF(AND(LEFT(C52,4)="후드집업",OR(D52="XXS",D52="XS")),"후드는 S부터",IF(COUNTA(E52:G52)&gt;0,"세트 옵션은 세트만","OK"))),IF(INDEX('상품표'!$B$4:$B$18,MATCH(C52,'상품표'!$A$4:$A$18,0))="세트",IF(COUNTA(E52:G52)&lt;3,"세트 옵션 선택",IF(D52&lt;&gt;"","사이즈 불필요","OK")),IF(COUNTA(E52:G52)&gt;0,"세트 옵션은 세트만",IF(D52&lt;&gt;"","사이즈 불필요","OK"))))))))</f>
        <v/>
      </c>
      <c r="M52" s="44"/>
      <c r="N52" s="45"/>
    </row>
    <row r="53" ht="15.75" customHeight="1">
      <c r="A53" s="32">
        <v>48.0</v>
      </c>
      <c r="B53" s="33"/>
      <c r="C53" s="33"/>
      <c r="D53" s="33"/>
      <c r="E53" s="33"/>
      <c r="F53" s="33"/>
      <c r="G53" s="33"/>
      <c r="H53" s="33"/>
      <c r="I53" s="20" t="str">
        <f t="array" ref="I53">IF(C53="","",IFERROR(INDEX('상품표'!$C$4:$C$18,MATCH(C53,'상품표'!$A$4:$A$18,0)),""))</f>
        <v/>
      </c>
      <c r="J53" s="20" t="str">
        <f>IF(I53="","",ROUND(I53*(1-'상품표'!$G$4),0))</f>
        <v/>
      </c>
      <c r="K53" s="20" t="str">
        <f t="shared" si="1"/>
        <v/>
      </c>
      <c r="L53" s="32" t="str">
        <f t="array" ref="L53">IF(C53="","",IF(ISNA(MATCH(C53,'상품표'!$A$4:$A$18,0)),"상품명 확인",IF(H53="","수량 입력",IF(FALSE,"",IF(INDEX('상품표'!$B$4:$B$18,MATCH(C53,'상품표'!$A$4:$A$18,0))="의류",IF(D53="","사이즈 선택",IF(AND(LEFT(C53,4)="후드집업",OR(D53="XXS",D53="XS")),"후드는 S부터",IF(COUNTA(E53:G53)&gt;0,"세트 옵션은 세트만","OK"))),IF(INDEX('상품표'!$B$4:$B$18,MATCH(C53,'상품표'!$A$4:$A$18,0))="세트",IF(COUNTA(E53:G53)&lt;3,"세트 옵션 선택",IF(D53&lt;&gt;"","사이즈 불필요","OK")),IF(COUNTA(E53:G53)&gt;0,"세트 옵션은 세트만",IF(D53&lt;&gt;"","사이즈 불필요","OK"))))))))</f>
        <v/>
      </c>
      <c r="M53" s="44"/>
      <c r="N53" s="45"/>
    </row>
    <row r="54" ht="15.75" customHeight="1">
      <c r="A54" s="32">
        <v>49.0</v>
      </c>
      <c r="B54" s="33"/>
      <c r="C54" s="33"/>
      <c r="D54" s="33"/>
      <c r="E54" s="33"/>
      <c r="F54" s="33"/>
      <c r="G54" s="33"/>
      <c r="H54" s="33"/>
      <c r="I54" s="20" t="str">
        <f t="array" ref="I54">IF(C54="","",IFERROR(INDEX('상품표'!$C$4:$C$18,MATCH(C54,'상품표'!$A$4:$A$18,0)),""))</f>
        <v/>
      </c>
      <c r="J54" s="20" t="str">
        <f>IF(I54="","",ROUND(I54*(1-'상품표'!$G$4),0))</f>
        <v/>
      </c>
      <c r="K54" s="20" t="str">
        <f t="shared" si="1"/>
        <v/>
      </c>
      <c r="L54" s="32" t="str">
        <f t="array" ref="L54">IF(C54="","",IF(ISNA(MATCH(C54,'상품표'!$A$4:$A$18,0)),"상품명 확인",IF(H54="","수량 입력",IF(FALSE,"",IF(INDEX('상품표'!$B$4:$B$18,MATCH(C54,'상품표'!$A$4:$A$18,0))="의류",IF(D54="","사이즈 선택",IF(AND(LEFT(C54,4)="후드집업",OR(D54="XXS",D54="XS")),"후드는 S부터",IF(COUNTA(E54:G54)&gt;0,"세트 옵션은 세트만","OK"))),IF(INDEX('상품표'!$B$4:$B$18,MATCH(C54,'상품표'!$A$4:$A$18,0))="세트",IF(COUNTA(E54:G54)&lt;3,"세트 옵션 선택",IF(D54&lt;&gt;"","사이즈 불필요","OK")),IF(COUNTA(E54:G54)&gt;0,"세트 옵션은 세트만",IF(D54&lt;&gt;"","사이즈 불필요","OK"))))))))</f>
        <v/>
      </c>
      <c r="M54" s="44"/>
      <c r="N54" s="45"/>
    </row>
    <row r="55" ht="15.75" customHeight="1">
      <c r="A55" s="32">
        <v>50.0</v>
      </c>
      <c r="B55" s="33"/>
      <c r="C55" s="33"/>
      <c r="D55" s="33"/>
      <c r="E55" s="33"/>
      <c r="F55" s="33"/>
      <c r="G55" s="33"/>
      <c r="H55" s="33"/>
      <c r="I55" s="20" t="str">
        <f t="array" ref="I55">IF(C55="","",IFERROR(INDEX('상품표'!$C$4:$C$18,MATCH(C55,'상품표'!$A$4:$A$18,0)),""))</f>
        <v/>
      </c>
      <c r="J55" s="20" t="str">
        <f>IF(I55="","",ROUND(I55*(1-'상품표'!$G$4),0))</f>
        <v/>
      </c>
      <c r="K55" s="20" t="str">
        <f t="shared" si="1"/>
        <v/>
      </c>
      <c r="L55" s="32" t="str">
        <f t="array" ref="L55">IF(C55="","",IF(ISNA(MATCH(C55,'상품표'!$A$4:$A$18,0)),"상품명 확인",IF(H55="","수량 입력",IF(FALSE,"",IF(INDEX('상품표'!$B$4:$B$18,MATCH(C55,'상품표'!$A$4:$A$18,0))="의류",IF(D55="","사이즈 선택",IF(AND(LEFT(C55,4)="후드집업",OR(D55="XXS",D55="XS")),"후드는 S부터",IF(COUNTA(E55:G55)&gt;0,"세트 옵션은 세트만","OK"))),IF(INDEX('상품표'!$B$4:$B$18,MATCH(C55,'상품표'!$A$4:$A$18,0))="세트",IF(COUNTA(E55:G55)&lt;3,"세트 옵션 선택",IF(D55&lt;&gt;"","사이즈 불필요","OK")),IF(COUNTA(E55:G55)&gt;0,"세트 옵션은 세트만",IF(D55&lt;&gt;"","사이즈 불필요","OK"))))))))</f>
        <v/>
      </c>
      <c r="M55" s="44"/>
      <c r="N55" s="45"/>
    </row>
    <row r="56" ht="15.75" customHeight="1">
      <c r="A56" s="32">
        <v>51.0</v>
      </c>
      <c r="B56" s="33"/>
      <c r="C56" s="33"/>
      <c r="D56" s="33"/>
      <c r="E56" s="33"/>
      <c r="F56" s="33"/>
      <c r="G56" s="33"/>
      <c r="H56" s="33"/>
      <c r="I56" s="20" t="str">
        <f t="array" ref="I56">IF(C56="","",IFERROR(INDEX('상품표'!$C$4:$C$18,MATCH(C56,'상품표'!$A$4:$A$18,0)),""))</f>
        <v/>
      </c>
      <c r="J56" s="20" t="str">
        <f>IF(I56="","",ROUND(I56*(1-'상품표'!$G$4),0))</f>
        <v/>
      </c>
      <c r="K56" s="20" t="str">
        <f t="shared" si="1"/>
        <v/>
      </c>
      <c r="L56" s="32" t="str">
        <f t="array" ref="L56">IF(C56="","",IF(ISNA(MATCH(C56,'상품표'!$A$4:$A$18,0)),"상품명 확인",IF(H56="","수량 입력",IF(FALSE,"",IF(INDEX('상품표'!$B$4:$B$18,MATCH(C56,'상품표'!$A$4:$A$18,0))="의류",IF(D56="","사이즈 선택",IF(AND(LEFT(C56,4)="후드집업",OR(D56="XXS",D56="XS")),"후드는 S부터",IF(COUNTA(E56:G56)&gt;0,"세트 옵션은 세트만","OK"))),IF(INDEX('상품표'!$B$4:$B$18,MATCH(C56,'상품표'!$A$4:$A$18,0))="세트",IF(COUNTA(E56:G56)&lt;3,"세트 옵션 선택",IF(D56&lt;&gt;"","사이즈 불필요","OK")),IF(COUNTA(E56:G56)&gt;0,"세트 옵션은 세트만",IF(D56&lt;&gt;"","사이즈 불필요","OK"))))))))</f>
        <v/>
      </c>
      <c r="M56" s="44"/>
      <c r="N56" s="45"/>
    </row>
    <row r="57" ht="15.75" customHeight="1">
      <c r="A57" s="32">
        <v>52.0</v>
      </c>
      <c r="B57" s="33"/>
      <c r="C57" s="33"/>
      <c r="D57" s="33"/>
      <c r="E57" s="33"/>
      <c r="F57" s="33"/>
      <c r="G57" s="33"/>
      <c r="H57" s="33"/>
      <c r="I57" s="20" t="str">
        <f t="array" ref="I57">IF(C57="","",IFERROR(INDEX('상품표'!$C$4:$C$18,MATCH(C57,'상품표'!$A$4:$A$18,0)),""))</f>
        <v/>
      </c>
      <c r="J57" s="20" t="str">
        <f>IF(I57="","",ROUND(I57*(1-'상품표'!$G$4),0))</f>
        <v/>
      </c>
      <c r="K57" s="20" t="str">
        <f t="shared" si="1"/>
        <v/>
      </c>
      <c r="L57" s="32" t="str">
        <f t="array" ref="L57">IF(C57="","",IF(ISNA(MATCH(C57,'상품표'!$A$4:$A$18,0)),"상품명 확인",IF(H57="","수량 입력",IF(FALSE,"",IF(INDEX('상품표'!$B$4:$B$18,MATCH(C57,'상품표'!$A$4:$A$18,0))="의류",IF(D57="","사이즈 선택",IF(AND(LEFT(C57,4)="후드집업",OR(D57="XXS",D57="XS")),"후드는 S부터",IF(COUNTA(E57:G57)&gt;0,"세트 옵션은 세트만","OK"))),IF(INDEX('상품표'!$B$4:$B$18,MATCH(C57,'상품표'!$A$4:$A$18,0))="세트",IF(COUNTA(E57:G57)&lt;3,"세트 옵션 선택",IF(D57&lt;&gt;"","사이즈 불필요","OK")),IF(COUNTA(E57:G57)&gt;0,"세트 옵션은 세트만",IF(D57&lt;&gt;"","사이즈 불필요","OK"))))))))</f>
        <v/>
      </c>
      <c r="M57" s="44"/>
      <c r="N57" s="45"/>
    </row>
    <row r="58" ht="15.75" customHeight="1">
      <c r="A58" s="32">
        <v>53.0</v>
      </c>
      <c r="B58" s="33"/>
      <c r="C58" s="33"/>
      <c r="D58" s="33"/>
      <c r="E58" s="33"/>
      <c r="F58" s="33"/>
      <c r="G58" s="33"/>
      <c r="H58" s="33"/>
      <c r="I58" s="20" t="str">
        <f t="array" ref="I58">IF(C58="","",IFERROR(INDEX('상품표'!$C$4:$C$18,MATCH(C58,'상품표'!$A$4:$A$18,0)),""))</f>
        <v/>
      </c>
      <c r="J58" s="20" t="str">
        <f>IF(I58="","",ROUND(I58*(1-'상품표'!$G$4),0))</f>
        <v/>
      </c>
      <c r="K58" s="20" t="str">
        <f t="shared" si="1"/>
        <v/>
      </c>
      <c r="L58" s="32" t="str">
        <f t="array" ref="L58">IF(C58="","",IF(ISNA(MATCH(C58,'상품표'!$A$4:$A$18,0)),"상품명 확인",IF(H58="","수량 입력",IF(FALSE,"",IF(INDEX('상품표'!$B$4:$B$18,MATCH(C58,'상품표'!$A$4:$A$18,0))="의류",IF(D58="","사이즈 선택",IF(AND(LEFT(C58,4)="후드집업",OR(D58="XXS",D58="XS")),"후드는 S부터",IF(COUNTA(E58:G58)&gt;0,"세트 옵션은 세트만","OK"))),IF(INDEX('상품표'!$B$4:$B$18,MATCH(C58,'상품표'!$A$4:$A$18,0))="세트",IF(COUNTA(E58:G58)&lt;3,"세트 옵션 선택",IF(D58&lt;&gt;"","사이즈 불필요","OK")),IF(COUNTA(E58:G58)&gt;0,"세트 옵션은 세트만",IF(D58&lt;&gt;"","사이즈 불필요","OK"))))))))</f>
        <v/>
      </c>
      <c r="M58" s="44"/>
      <c r="N58" s="45"/>
    </row>
    <row r="59" ht="15.75" customHeight="1">
      <c r="A59" s="32">
        <v>54.0</v>
      </c>
      <c r="B59" s="33"/>
      <c r="C59" s="33"/>
      <c r="D59" s="33"/>
      <c r="E59" s="33"/>
      <c r="F59" s="33"/>
      <c r="G59" s="33"/>
      <c r="H59" s="33"/>
      <c r="I59" s="20" t="str">
        <f t="array" ref="I59">IF(C59="","",IFERROR(INDEX('상품표'!$C$4:$C$18,MATCH(C59,'상품표'!$A$4:$A$18,0)),""))</f>
        <v/>
      </c>
      <c r="J59" s="20" t="str">
        <f>IF(I59="","",ROUND(I59*(1-'상품표'!$G$4),0))</f>
        <v/>
      </c>
      <c r="K59" s="20" t="str">
        <f t="shared" si="1"/>
        <v/>
      </c>
      <c r="L59" s="32" t="str">
        <f t="array" ref="L59">IF(C59="","",IF(ISNA(MATCH(C59,'상품표'!$A$4:$A$18,0)),"상품명 확인",IF(H59="","수량 입력",IF(FALSE,"",IF(INDEX('상품표'!$B$4:$B$18,MATCH(C59,'상품표'!$A$4:$A$18,0))="의류",IF(D59="","사이즈 선택",IF(AND(LEFT(C59,4)="후드집업",OR(D59="XXS",D59="XS")),"후드는 S부터",IF(COUNTA(E59:G59)&gt;0,"세트 옵션은 세트만","OK"))),IF(INDEX('상품표'!$B$4:$B$18,MATCH(C59,'상품표'!$A$4:$A$18,0))="세트",IF(COUNTA(E59:G59)&lt;3,"세트 옵션 선택",IF(D59&lt;&gt;"","사이즈 불필요","OK")),IF(COUNTA(E59:G59)&gt;0,"세트 옵션은 세트만",IF(D59&lt;&gt;"","사이즈 불필요","OK"))))))))</f>
        <v/>
      </c>
      <c r="M59" s="44"/>
      <c r="N59" s="45"/>
    </row>
    <row r="60" ht="15.75" customHeight="1">
      <c r="A60" s="32">
        <v>55.0</v>
      </c>
      <c r="B60" s="33"/>
      <c r="C60" s="33"/>
      <c r="D60" s="33"/>
      <c r="E60" s="33"/>
      <c r="F60" s="33"/>
      <c r="G60" s="33"/>
      <c r="H60" s="33"/>
      <c r="I60" s="20" t="str">
        <f t="array" ref="I60">IF(C60="","",IFERROR(INDEX('상품표'!$C$4:$C$18,MATCH(C60,'상품표'!$A$4:$A$18,0)),""))</f>
        <v/>
      </c>
      <c r="J60" s="20" t="str">
        <f>IF(I60="","",ROUND(I60*(1-'상품표'!$G$4),0))</f>
        <v/>
      </c>
      <c r="K60" s="20" t="str">
        <f t="shared" si="1"/>
        <v/>
      </c>
      <c r="L60" s="32" t="str">
        <f t="array" ref="L60">IF(C60="","",IF(ISNA(MATCH(C60,'상품표'!$A$4:$A$18,0)),"상품명 확인",IF(H60="","수량 입력",IF(FALSE,"",IF(INDEX('상품표'!$B$4:$B$18,MATCH(C60,'상품표'!$A$4:$A$18,0))="의류",IF(D60="","사이즈 선택",IF(AND(LEFT(C60,4)="후드집업",OR(D60="XXS",D60="XS")),"후드는 S부터",IF(COUNTA(E60:G60)&gt;0,"세트 옵션은 세트만","OK"))),IF(INDEX('상품표'!$B$4:$B$18,MATCH(C60,'상품표'!$A$4:$A$18,0))="세트",IF(COUNTA(E60:G60)&lt;3,"세트 옵션 선택",IF(D60&lt;&gt;"","사이즈 불필요","OK")),IF(COUNTA(E60:G60)&gt;0,"세트 옵션은 세트만",IF(D60&lt;&gt;"","사이즈 불필요","OK"))))))))</f>
        <v/>
      </c>
      <c r="M60" s="44"/>
      <c r="N60" s="45"/>
    </row>
    <row r="61" ht="15.75" customHeight="1">
      <c r="A61" s="32">
        <v>56.0</v>
      </c>
      <c r="B61" s="33"/>
      <c r="C61" s="33"/>
      <c r="D61" s="33"/>
      <c r="E61" s="33"/>
      <c r="F61" s="33"/>
      <c r="G61" s="33"/>
      <c r="H61" s="33"/>
      <c r="I61" s="20" t="str">
        <f t="array" ref="I61">IF(C61="","",IFERROR(INDEX('상품표'!$C$4:$C$18,MATCH(C61,'상품표'!$A$4:$A$18,0)),""))</f>
        <v/>
      </c>
      <c r="J61" s="20" t="str">
        <f>IF(I61="","",ROUND(I61*(1-'상품표'!$G$4),0))</f>
        <v/>
      </c>
      <c r="K61" s="20" t="str">
        <f t="shared" si="1"/>
        <v/>
      </c>
      <c r="L61" s="32" t="str">
        <f t="array" ref="L61">IF(C61="","",IF(ISNA(MATCH(C61,'상품표'!$A$4:$A$18,0)),"상품명 확인",IF(H61="","수량 입력",IF(FALSE,"",IF(INDEX('상품표'!$B$4:$B$18,MATCH(C61,'상품표'!$A$4:$A$18,0))="의류",IF(D61="","사이즈 선택",IF(AND(LEFT(C61,4)="후드집업",OR(D61="XXS",D61="XS")),"후드는 S부터",IF(COUNTA(E61:G61)&gt;0,"세트 옵션은 세트만","OK"))),IF(INDEX('상품표'!$B$4:$B$18,MATCH(C61,'상품표'!$A$4:$A$18,0))="세트",IF(COUNTA(E61:G61)&lt;3,"세트 옵션 선택",IF(D61&lt;&gt;"","사이즈 불필요","OK")),IF(COUNTA(E61:G61)&gt;0,"세트 옵션은 세트만",IF(D61&lt;&gt;"","사이즈 불필요","OK"))))))))</f>
        <v/>
      </c>
      <c r="M61" s="44"/>
      <c r="N61" s="45"/>
    </row>
    <row r="62" ht="15.75" customHeight="1">
      <c r="A62" s="32">
        <v>57.0</v>
      </c>
      <c r="B62" s="33"/>
      <c r="C62" s="33"/>
      <c r="D62" s="33"/>
      <c r="E62" s="33"/>
      <c r="F62" s="33"/>
      <c r="G62" s="33"/>
      <c r="H62" s="33"/>
      <c r="I62" s="20" t="str">
        <f t="array" ref="I62">IF(C62="","",IFERROR(INDEX('상품표'!$C$4:$C$18,MATCH(C62,'상품표'!$A$4:$A$18,0)),""))</f>
        <v/>
      </c>
      <c r="J62" s="20" t="str">
        <f>IF(I62="","",ROUND(I62*(1-'상품표'!$G$4),0))</f>
        <v/>
      </c>
      <c r="K62" s="20" t="str">
        <f t="shared" si="1"/>
        <v/>
      </c>
      <c r="L62" s="32" t="str">
        <f t="array" ref="L62">IF(C62="","",IF(ISNA(MATCH(C62,'상품표'!$A$4:$A$18,0)),"상품명 확인",IF(H62="","수량 입력",IF(FALSE,"",IF(INDEX('상품표'!$B$4:$B$18,MATCH(C62,'상품표'!$A$4:$A$18,0))="의류",IF(D62="","사이즈 선택",IF(AND(LEFT(C62,4)="후드집업",OR(D62="XXS",D62="XS")),"후드는 S부터",IF(COUNTA(E62:G62)&gt;0,"세트 옵션은 세트만","OK"))),IF(INDEX('상품표'!$B$4:$B$18,MATCH(C62,'상품표'!$A$4:$A$18,0))="세트",IF(COUNTA(E62:G62)&lt;3,"세트 옵션 선택",IF(D62&lt;&gt;"","사이즈 불필요","OK")),IF(COUNTA(E62:G62)&gt;0,"세트 옵션은 세트만",IF(D62&lt;&gt;"","사이즈 불필요","OK"))))))))</f>
        <v/>
      </c>
      <c r="M62" s="44"/>
      <c r="N62" s="45"/>
    </row>
    <row r="63" ht="15.75" customHeight="1">
      <c r="A63" s="32">
        <v>58.0</v>
      </c>
      <c r="B63" s="33"/>
      <c r="C63" s="33"/>
      <c r="D63" s="33"/>
      <c r="E63" s="33"/>
      <c r="F63" s="33"/>
      <c r="G63" s="33"/>
      <c r="H63" s="33"/>
      <c r="I63" s="20" t="str">
        <f t="array" ref="I63">IF(C63="","",IFERROR(INDEX('상품표'!$C$4:$C$18,MATCH(C63,'상품표'!$A$4:$A$18,0)),""))</f>
        <v/>
      </c>
      <c r="J63" s="20" t="str">
        <f>IF(I63="","",ROUND(I63*(1-'상품표'!$G$4),0))</f>
        <v/>
      </c>
      <c r="K63" s="20" t="str">
        <f t="shared" si="1"/>
        <v/>
      </c>
      <c r="L63" s="32" t="str">
        <f t="array" ref="L63">IF(C63="","",IF(ISNA(MATCH(C63,'상품표'!$A$4:$A$18,0)),"상품명 확인",IF(H63="","수량 입력",IF(FALSE,"",IF(INDEX('상품표'!$B$4:$B$18,MATCH(C63,'상품표'!$A$4:$A$18,0))="의류",IF(D63="","사이즈 선택",IF(AND(LEFT(C63,4)="후드집업",OR(D63="XXS",D63="XS")),"후드는 S부터",IF(COUNTA(E63:G63)&gt;0,"세트 옵션은 세트만","OK"))),IF(INDEX('상품표'!$B$4:$B$18,MATCH(C63,'상품표'!$A$4:$A$18,0))="세트",IF(COUNTA(E63:G63)&lt;3,"세트 옵션 선택",IF(D63&lt;&gt;"","사이즈 불필요","OK")),IF(COUNTA(E63:G63)&gt;0,"세트 옵션은 세트만",IF(D63&lt;&gt;"","사이즈 불필요","OK"))))))))</f>
        <v/>
      </c>
      <c r="M63" s="44"/>
      <c r="N63" s="45"/>
    </row>
    <row r="64" ht="15.75" customHeight="1">
      <c r="A64" s="32">
        <v>59.0</v>
      </c>
      <c r="B64" s="33"/>
      <c r="C64" s="33"/>
      <c r="D64" s="33"/>
      <c r="E64" s="33"/>
      <c r="F64" s="33"/>
      <c r="G64" s="33"/>
      <c r="H64" s="33"/>
      <c r="I64" s="20" t="str">
        <f t="array" ref="I64">IF(C64="","",IFERROR(INDEX('상품표'!$C$4:$C$18,MATCH(C64,'상품표'!$A$4:$A$18,0)),""))</f>
        <v/>
      </c>
      <c r="J64" s="20" t="str">
        <f>IF(I64="","",ROUND(I64*(1-'상품표'!$G$4),0))</f>
        <v/>
      </c>
      <c r="K64" s="20" t="str">
        <f t="shared" si="1"/>
        <v/>
      </c>
      <c r="L64" s="32" t="str">
        <f t="array" ref="L64">IF(C64="","",IF(ISNA(MATCH(C64,'상품표'!$A$4:$A$18,0)),"상품명 확인",IF(H64="","수량 입력",IF(FALSE,"",IF(INDEX('상품표'!$B$4:$B$18,MATCH(C64,'상품표'!$A$4:$A$18,0))="의류",IF(D64="","사이즈 선택",IF(AND(LEFT(C64,4)="후드집업",OR(D64="XXS",D64="XS")),"후드는 S부터",IF(COUNTA(E64:G64)&gt;0,"세트 옵션은 세트만","OK"))),IF(INDEX('상품표'!$B$4:$B$18,MATCH(C64,'상품표'!$A$4:$A$18,0))="세트",IF(COUNTA(E64:G64)&lt;3,"세트 옵션 선택",IF(D64&lt;&gt;"","사이즈 불필요","OK")),IF(COUNTA(E64:G64)&gt;0,"세트 옵션은 세트만",IF(D64&lt;&gt;"","사이즈 불필요","OK"))))))))</f>
        <v/>
      </c>
      <c r="M64" s="44"/>
      <c r="N64" s="45"/>
    </row>
    <row r="65" ht="15.75" customHeight="1">
      <c r="A65" s="32">
        <v>60.0</v>
      </c>
      <c r="B65" s="33"/>
      <c r="C65" s="33"/>
      <c r="D65" s="33"/>
      <c r="E65" s="33"/>
      <c r="F65" s="33"/>
      <c r="G65" s="33"/>
      <c r="H65" s="33"/>
      <c r="I65" s="20" t="str">
        <f t="array" ref="I65">IF(C65="","",IFERROR(INDEX('상품표'!$C$4:$C$18,MATCH(C65,'상품표'!$A$4:$A$18,0)),""))</f>
        <v/>
      </c>
      <c r="J65" s="20" t="str">
        <f>IF(I65="","",ROUND(I65*(1-'상품표'!$G$4),0))</f>
        <v/>
      </c>
      <c r="K65" s="20" t="str">
        <f t="shared" si="1"/>
        <v/>
      </c>
      <c r="L65" s="32" t="str">
        <f t="array" ref="L65">IF(C65="","",IF(ISNA(MATCH(C65,'상품표'!$A$4:$A$18,0)),"상품명 확인",IF(H65="","수량 입력",IF(FALSE,"",IF(INDEX('상품표'!$B$4:$B$18,MATCH(C65,'상품표'!$A$4:$A$18,0))="의류",IF(D65="","사이즈 선택",IF(AND(LEFT(C65,4)="후드집업",OR(D65="XXS",D65="XS")),"후드는 S부터",IF(COUNTA(E65:G65)&gt;0,"세트 옵션은 세트만","OK"))),IF(INDEX('상품표'!$B$4:$B$18,MATCH(C65,'상품표'!$A$4:$A$18,0))="세트",IF(COUNTA(E65:G65)&lt;3,"세트 옵션 선택",IF(D65&lt;&gt;"","사이즈 불필요","OK")),IF(COUNTA(E65:G65)&gt;0,"세트 옵션은 세트만",IF(D65&lt;&gt;"","사이즈 불필요","OK"))))))))</f>
        <v/>
      </c>
      <c r="M65" s="44"/>
      <c r="N65" s="45"/>
    </row>
    <row r="66" ht="15.75" customHeight="1">
      <c r="A66" s="32">
        <v>61.0</v>
      </c>
      <c r="B66" s="33"/>
      <c r="C66" s="33"/>
      <c r="D66" s="33"/>
      <c r="E66" s="33"/>
      <c r="F66" s="33"/>
      <c r="G66" s="33"/>
      <c r="H66" s="33"/>
      <c r="I66" s="20" t="str">
        <f t="array" ref="I66">IF(C66="","",IFERROR(INDEX('상품표'!$C$4:$C$18,MATCH(C66,'상품표'!$A$4:$A$18,0)),""))</f>
        <v/>
      </c>
      <c r="J66" s="20" t="str">
        <f>IF(I66="","",ROUND(I66*(1-'상품표'!$G$4),0))</f>
        <v/>
      </c>
      <c r="K66" s="20" t="str">
        <f t="shared" si="1"/>
        <v/>
      </c>
      <c r="L66" s="32" t="str">
        <f t="array" ref="L66">IF(C66="","",IF(ISNA(MATCH(C66,'상품표'!$A$4:$A$18,0)),"상품명 확인",IF(H66="","수량 입력",IF(FALSE,"",IF(INDEX('상품표'!$B$4:$B$18,MATCH(C66,'상품표'!$A$4:$A$18,0))="의류",IF(D66="","사이즈 선택",IF(AND(LEFT(C66,4)="후드집업",OR(D66="XXS",D66="XS")),"후드는 S부터",IF(COUNTA(E66:G66)&gt;0,"세트 옵션은 세트만","OK"))),IF(INDEX('상품표'!$B$4:$B$18,MATCH(C66,'상품표'!$A$4:$A$18,0))="세트",IF(COUNTA(E66:G66)&lt;3,"세트 옵션 선택",IF(D66&lt;&gt;"","사이즈 불필요","OK")),IF(COUNTA(E66:G66)&gt;0,"세트 옵션은 세트만",IF(D66&lt;&gt;"","사이즈 불필요","OK"))))))))</f>
        <v/>
      </c>
      <c r="M66" s="44"/>
      <c r="N66" s="45"/>
    </row>
    <row r="67" ht="15.75" customHeight="1">
      <c r="A67" s="32">
        <v>62.0</v>
      </c>
      <c r="B67" s="33"/>
      <c r="C67" s="33"/>
      <c r="D67" s="33"/>
      <c r="E67" s="33"/>
      <c r="F67" s="33"/>
      <c r="G67" s="33"/>
      <c r="H67" s="33"/>
      <c r="I67" s="20" t="str">
        <f t="array" ref="I67">IF(C67="","",IFERROR(INDEX('상품표'!$C$4:$C$18,MATCH(C67,'상품표'!$A$4:$A$18,0)),""))</f>
        <v/>
      </c>
      <c r="J67" s="20" t="str">
        <f>IF(I67="","",ROUND(I67*(1-'상품표'!$G$4),0))</f>
        <v/>
      </c>
      <c r="K67" s="20" t="str">
        <f t="shared" si="1"/>
        <v/>
      </c>
      <c r="L67" s="32" t="str">
        <f t="array" ref="L67">IF(C67="","",IF(ISNA(MATCH(C67,'상품표'!$A$4:$A$18,0)),"상품명 확인",IF(H67="","수량 입력",IF(FALSE,"",IF(INDEX('상품표'!$B$4:$B$18,MATCH(C67,'상품표'!$A$4:$A$18,0))="의류",IF(D67="","사이즈 선택",IF(AND(LEFT(C67,4)="후드집업",OR(D67="XXS",D67="XS")),"후드는 S부터",IF(COUNTA(E67:G67)&gt;0,"세트 옵션은 세트만","OK"))),IF(INDEX('상품표'!$B$4:$B$18,MATCH(C67,'상품표'!$A$4:$A$18,0))="세트",IF(COUNTA(E67:G67)&lt;3,"세트 옵션 선택",IF(D67&lt;&gt;"","사이즈 불필요","OK")),IF(COUNTA(E67:G67)&gt;0,"세트 옵션은 세트만",IF(D67&lt;&gt;"","사이즈 불필요","OK"))))))))</f>
        <v/>
      </c>
      <c r="M67" s="44"/>
      <c r="N67" s="45"/>
    </row>
    <row r="68" ht="15.75" customHeight="1">
      <c r="A68" s="32">
        <v>63.0</v>
      </c>
      <c r="B68" s="33"/>
      <c r="C68" s="33"/>
      <c r="D68" s="33"/>
      <c r="E68" s="33"/>
      <c r="F68" s="33"/>
      <c r="G68" s="33"/>
      <c r="H68" s="33"/>
      <c r="I68" s="20" t="str">
        <f t="array" ref="I68">IF(C68="","",IFERROR(INDEX('상품표'!$C$4:$C$18,MATCH(C68,'상품표'!$A$4:$A$18,0)),""))</f>
        <v/>
      </c>
      <c r="J68" s="20" t="str">
        <f>IF(I68="","",ROUND(I68*(1-'상품표'!$G$4),0))</f>
        <v/>
      </c>
      <c r="K68" s="20" t="str">
        <f t="shared" si="1"/>
        <v/>
      </c>
      <c r="L68" s="32" t="str">
        <f t="array" ref="L68">IF(C68="","",IF(ISNA(MATCH(C68,'상품표'!$A$4:$A$18,0)),"상품명 확인",IF(H68="","수량 입력",IF(FALSE,"",IF(INDEX('상품표'!$B$4:$B$18,MATCH(C68,'상품표'!$A$4:$A$18,0))="의류",IF(D68="","사이즈 선택",IF(AND(LEFT(C68,4)="후드집업",OR(D68="XXS",D68="XS")),"후드는 S부터",IF(COUNTA(E68:G68)&gt;0,"세트 옵션은 세트만","OK"))),IF(INDEX('상품표'!$B$4:$B$18,MATCH(C68,'상품표'!$A$4:$A$18,0))="세트",IF(COUNTA(E68:G68)&lt;3,"세트 옵션 선택",IF(D68&lt;&gt;"","사이즈 불필요","OK")),IF(COUNTA(E68:G68)&gt;0,"세트 옵션은 세트만",IF(D68&lt;&gt;"","사이즈 불필요","OK"))))))))</f>
        <v/>
      </c>
      <c r="M68" s="44"/>
      <c r="N68" s="45"/>
    </row>
    <row r="69" ht="15.75" customHeight="1">
      <c r="A69" s="32">
        <v>64.0</v>
      </c>
      <c r="B69" s="33"/>
      <c r="C69" s="33"/>
      <c r="D69" s="33"/>
      <c r="E69" s="33"/>
      <c r="F69" s="33"/>
      <c r="G69" s="33"/>
      <c r="H69" s="33"/>
      <c r="I69" s="20" t="str">
        <f t="array" ref="I69">IF(C69="","",IFERROR(INDEX('상품표'!$C$4:$C$18,MATCH(C69,'상품표'!$A$4:$A$18,0)),""))</f>
        <v/>
      </c>
      <c r="J69" s="20" t="str">
        <f>IF(I69="","",ROUND(I69*(1-'상품표'!$G$4),0))</f>
        <v/>
      </c>
      <c r="K69" s="20" t="str">
        <f t="shared" si="1"/>
        <v/>
      </c>
      <c r="L69" s="32" t="str">
        <f t="array" ref="L69">IF(C69="","",IF(ISNA(MATCH(C69,'상품표'!$A$4:$A$18,0)),"상품명 확인",IF(H69="","수량 입력",IF(FALSE,"",IF(INDEX('상품표'!$B$4:$B$18,MATCH(C69,'상품표'!$A$4:$A$18,0))="의류",IF(D69="","사이즈 선택",IF(AND(LEFT(C69,4)="후드집업",OR(D69="XXS",D69="XS")),"후드는 S부터",IF(COUNTA(E69:G69)&gt;0,"세트 옵션은 세트만","OK"))),IF(INDEX('상품표'!$B$4:$B$18,MATCH(C69,'상품표'!$A$4:$A$18,0))="세트",IF(COUNTA(E69:G69)&lt;3,"세트 옵션 선택",IF(D69&lt;&gt;"","사이즈 불필요","OK")),IF(COUNTA(E69:G69)&gt;0,"세트 옵션은 세트만",IF(D69&lt;&gt;"","사이즈 불필요","OK"))))))))</f>
        <v/>
      </c>
      <c r="M69" s="44"/>
      <c r="N69" s="45"/>
    </row>
    <row r="70" ht="15.75" customHeight="1">
      <c r="A70" s="32">
        <v>65.0</v>
      </c>
      <c r="B70" s="33"/>
      <c r="C70" s="33"/>
      <c r="D70" s="33"/>
      <c r="E70" s="33"/>
      <c r="F70" s="33"/>
      <c r="G70" s="33"/>
      <c r="H70" s="33"/>
      <c r="I70" s="20" t="str">
        <f t="array" ref="I70">IF(C70="","",IFERROR(INDEX('상품표'!$C$4:$C$18,MATCH(C70,'상품표'!$A$4:$A$18,0)),""))</f>
        <v/>
      </c>
      <c r="J70" s="20" t="str">
        <f>IF(I70="","",ROUND(I70*(1-'상품표'!$G$4),0))</f>
        <v/>
      </c>
      <c r="K70" s="20" t="str">
        <f t="shared" si="1"/>
        <v/>
      </c>
      <c r="L70" s="32" t="str">
        <f t="array" ref="L70">IF(C70="","",IF(ISNA(MATCH(C70,'상품표'!$A$4:$A$18,0)),"상품명 확인",IF(H70="","수량 입력",IF(FALSE,"",IF(INDEX('상품표'!$B$4:$B$18,MATCH(C70,'상품표'!$A$4:$A$18,0))="의류",IF(D70="","사이즈 선택",IF(AND(LEFT(C70,4)="후드집업",OR(D70="XXS",D70="XS")),"후드는 S부터",IF(COUNTA(E70:G70)&gt;0,"세트 옵션은 세트만","OK"))),IF(INDEX('상품표'!$B$4:$B$18,MATCH(C70,'상품표'!$A$4:$A$18,0))="세트",IF(COUNTA(E70:G70)&lt;3,"세트 옵션 선택",IF(D70&lt;&gt;"","사이즈 불필요","OK")),IF(COUNTA(E70:G70)&gt;0,"세트 옵션은 세트만",IF(D70&lt;&gt;"","사이즈 불필요","OK"))))))))</f>
        <v/>
      </c>
      <c r="M70" s="44"/>
      <c r="N70" s="45"/>
    </row>
    <row r="71" ht="15.75" customHeight="1">
      <c r="A71" s="32">
        <v>66.0</v>
      </c>
      <c r="B71" s="33"/>
      <c r="C71" s="33"/>
      <c r="D71" s="33"/>
      <c r="E71" s="33"/>
      <c r="F71" s="33"/>
      <c r="G71" s="33"/>
      <c r="H71" s="33"/>
      <c r="I71" s="20" t="str">
        <f t="array" ref="I71">IF(C71="","",IFERROR(INDEX('상품표'!$C$4:$C$18,MATCH(C71,'상품표'!$A$4:$A$18,0)),""))</f>
        <v/>
      </c>
      <c r="J71" s="20" t="str">
        <f>IF(I71="","",ROUND(I71*(1-'상품표'!$G$4),0))</f>
        <v/>
      </c>
      <c r="K71" s="20" t="str">
        <f t="shared" si="1"/>
        <v/>
      </c>
      <c r="L71" s="32" t="str">
        <f t="array" ref="L71">IF(C71="","",IF(ISNA(MATCH(C71,'상품표'!$A$4:$A$18,0)),"상품명 확인",IF(H71="","수량 입력",IF(FALSE,"",IF(INDEX('상품표'!$B$4:$B$18,MATCH(C71,'상품표'!$A$4:$A$18,0))="의류",IF(D71="","사이즈 선택",IF(AND(LEFT(C71,4)="후드집업",OR(D71="XXS",D71="XS")),"후드는 S부터",IF(COUNTA(E71:G71)&gt;0,"세트 옵션은 세트만","OK"))),IF(INDEX('상품표'!$B$4:$B$18,MATCH(C71,'상품표'!$A$4:$A$18,0))="세트",IF(COUNTA(E71:G71)&lt;3,"세트 옵션 선택",IF(D71&lt;&gt;"","사이즈 불필요","OK")),IF(COUNTA(E71:G71)&gt;0,"세트 옵션은 세트만",IF(D71&lt;&gt;"","사이즈 불필요","OK"))))))))</f>
        <v/>
      </c>
      <c r="M71" s="44"/>
      <c r="N71" s="45"/>
    </row>
    <row r="72" ht="15.75" customHeight="1">
      <c r="A72" s="32">
        <v>67.0</v>
      </c>
      <c r="B72" s="33"/>
      <c r="C72" s="33"/>
      <c r="D72" s="33"/>
      <c r="E72" s="33"/>
      <c r="F72" s="33"/>
      <c r="G72" s="33"/>
      <c r="H72" s="33"/>
      <c r="I72" s="20" t="str">
        <f t="array" ref="I72">IF(C72="","",IFERROR(INDEX('상품표'!$C$4:$C$18,MATCH(C72,'상품표'!$A$4:$A$18,0)),""))</f>
        <v/>
      </c>
      <c r="J72" s="20" t="str">
        <f>IF(I72="","",ROUND(I72*(1-'상품표'!$G$4),0))</f>
        <v/>
      </c>
      <c r="K72" s="20" t="str">
        <f t="shared" si="1"/>
        <v/>
      </c>
      <c r="L72" s="32" t="str">
        <f t="array" ref="L72">IF(C72="","",IF(ISNA(MATCH(C72,'상품표'!$A$4:$A$18,0)),"상품명 확인",IF(H72="","수량 입력",IF(FALSE,"",IF(INDEX('상품표'!$B$4:$B$18,MATCH(C72,'상품표'!$A$4:$A$18,0))="의류",IF(D72="","사이즈 선택",IF(AND(LEFT(C72,4)="후드집업",OR(D72="XXS",D72="XS")),"후드는 S부터",IF(COUNTA(E72:G72)&gt;0,"세트 옵션은 세트만","OK"))),IF(INDEX('상품표'!$B$4:$B$18,MATCH(C72,'상품표'!$A$4:$A$18,0))="세트",IF(COUNTA(E72:G72)&lt;3,"세트 옵션 선택",IF(D72&lt;&gt;"","사이즈 불필요","OK")),IF(COUNTA(E72:G72)&gt;0,"세트 옵션은 세트만",IF(D72&lt;&gt;"","사이즈 불필요","OK"))))))))</f>
        <v/>
      </c>
      <c r="M72" s="44"/>
      <c r="N72" s="45"/>
    </row>
    <row r="73" ht="15.75" customHeight="1">
      <c r="A73" s="32">
        <v>68.0</v>
      </c>
      <c r="B73" s="33"/>
      <c r="C73" s="33"/>
      <c r="D73" s="33"/>
      <c r="E73" s="33"/>
      <c r="F73" s="33"/>
      <c r="G73" s="33"/>
      <c r="H73" s="33"/>
      <c r="I73" s="20" t="str">
        <f t="array" ref="I73">IF(C73="","",IFERROR(INDEX('상품표'!$C$4:$C$18,MATCH(C73,'상품표'!$A$4:$A$18,0)),""))</f>
        <v/>
      </c>
      <c r="J73" s="20" t="str">
        <f>IF(I73="","",ROUND(I73*(1-'상품표'!$G$4),0))</f>
        <v/>
      </c>
      <c r="K73" s="20" t="str">
        <f t="shared" si="1"/>
        <v/>
      </c>
      <c r="L73" s="32" t="str">
        <f t="array" ref="L73">IF(C73="","",IF(ISNA(MATCH(C73,'상품표'!$A$4:$A$18,0)),"상품명 확인",IF(H73="","수량 입력",IF(FALSE,"",IF(INDEX('상품표'!$B$4:$B$18,MATCH(C73,'상품표'!$A$4:$A$18,0))="의류",IF(D73="","사이즈 선택",IF(AND(LEFT(C73,4)="후드집업",OR(D73="XXS",D73="XS")),"후드는 S부터",IF(COUNTA(E73:G73)&gt;0,"세트 옵션은 세트만","OK"))),IF(INDEX('상품표'!$B$4:$B$18,MATCH(C73,'상품표'!$A$4:$A$18,0))="세트",IF(COUNTA(E73:G73)&lt;3,"세트 옵션 선택",IF(D73&lt;&gt;"","사이즈 불필요","OK")),IF(COUNTA(E73:G73)&gt;0,"세트 옵션은 세트만",IF(D73&lt;&gt;"","사이즈 불필요","OK"))))))))</f>
        <v/>
      </c>
      <c r="M73" s="44"/>
      <c r="N73" s="45"/>
    </row>
    <row r="74" ht="15.75" customHeight="1">
      <c r="A74" s="32">
        <v>69.0</v>
      </c>
      <c r="B74" s="33"/>
      <c r="C74" s="33"/>
      <c r="D74" s="33"/>
      <c r="E74" s="33"/>
      <c r="F74" s="33"/>
      <c r="G74" s="33"/>
      <c r="H74" s="33"/>
      <c r="I74" s="20" t="str">
        <f t="array" ref="I74">IF(C74="","",IFERROR(INDEX('상품표'!$C$4:$C$18,MATCH(C74,'상품표'!$A$4:$A$18,0)),""))</f>
        <v/>
      </c>
      <c r="J74" s="20" t="str">
        <f>IF(I74="","",ROUND(I74*(1-'상품표'!$G$4),0))</f>
        <v/>
      </c>
      <c r="K74" s="20" t="str">
        <f t="shared" si="1"/>
        <v/>
      </c>
      <c r="L74" s="32" t="str">
        <f t="array" ref="L74">IF(C74="","",IF(ISNA(MATCH(C74,'상품표'!$A$4:$A$18,0)),"상품명 확인",IF(H74="","수량 입력",IF(FALSE,"",IF(INDEX('상품표'!$B$4:$B$18,MATCH(C74,'상품표'!$A$4:$A$18,0))="의류",IF(D74="","사이즈 선택",IF(AND(LEFT(C74,4)="후드집업",OR(D74="XXS",D74="XS")),"후드는 S부터",IF(COUNTA(E74:G74)&gt;0,"세트 옵션은 세트만","OK"))),IF(INDEX('상품표'!$B$4:$B$18,MATCH(C74,'상품표'!$A$4:$A$18,0))="세트",IF(COUNTA(E74:G74)&lt;3,"세트 옵션 선택",IF(D74&lt;&gt;"","사이즈 불필요","OK")),IF(COUNTA(E74:G74)&gt;0,"세트 옵션은 세트만",IF(D74&lt;&gt;"","사이즈 불필요","OK"))))))))</f>
        <v/>
      </c>
      <c r="M74" s="44"/>
      <c r="N74" s="45"/>
    </row>
    <row r="75" ht="15.75" customHeight="1">
      <c r="A75" s="32">
        <v>70.0</v>
      </c>
      <c r="B75" s="33"/>
      <c r="C75" s="33"/>
      <c r="D75" s="33"/>
      <c r="E75" s="33"/>
      <c r="F75" s="33"/>
      <c r="G75" s="33"/>
      <c r="H75" s="33"/>
      <c r="I75" s="20" t="str">
        <f t="array" ref="I75">IF(C75="","",IFERROR(INDEX('상품표'!$C$4:$C$18,MATCH(C75,'상품표'!$A$4:$A$18,0)),""))</f>
        <v/>
      </c>
      <c r="J75" s="20" t="str">
        <f>IF(I75="","",ROUND(I75*(1-'상품표'!$G$4),0))</f>
        <v/>
      </c>
      <c r="K75" s="20" t="str">
        <f t="shared" si="1"/>
        <v/>
      </c>
      <c r="L75" s="32" t="str">
        <f t="array" ref="L75">IF(C75="","",IF(ISNA(MATCH(C75,'상품표'!$A$4:$A$18,0)),"상품명 확인",IF(H75="","수량 입력",IF(FALSE,"",IF(INDEX('상품표'!$B$4:$B$18,MATCH(C75,'상품표'!$A$4:$A$18,0))="의류",IF(D75="","사이즈 선택",IF(AND(LEFT(C75,4)="후드집업",OR(D75="XXS",D75="XS")),"후드는 S부터",IF(COUNTA(E75:G75)&gt;0,"세트 옵션은 세트만","OK"))),IF(INDEX('상품표'!$B$4:$B$18,MATCH(C75,'상품표'!$A$4:$A$18,0))="세트",IF(COUNTA(E75:G75)&lt;3,"세트 옵션 선택",IF(D75&lt;&gt;"","사이즈 불필요","OK")),IF(COUNTA(E75:G75)&gt;0,"세트 옵션은 세트만",IF(D75&lt;&gt;"","사이즈 불필요","OK"))))))))</f>
        <v/>
      </c>
      <c r="M75" s="44"/>
      <c r="N75" s="45"/>
    </row>
    <row r="76" ht="15.75" customHeight="1">
      <c r="A76" s="32">
        <v>71.0</v>
      </c>
      <c r="B76" s="33"/>
      <c r="C76" s="33"/>
      <c r="D76" s="33"/>
      <c r="E76" s="33"/>
      <c r="F76" s="33"/>
      <c r="G76" s="33"/>
      <c r="H76" s="33"/>
      <c r="I76" s="20" t="str">
        <f t="array" ref="I76">IF(C76="","",IFERROR(INDEX('상품표'!$C$4:$C$18,MATCH(C76,'상품표'!$A$4:$A$18,0)),""))</f>
        <v/>
      </c>
      <c r="J76" s="20" t="str">
        <f>IF(I76="","",ROUND(I76*(1-'상품표'!$G$4),0))</f>
        <v/>
      </c>
      <c r="K76" s="20" t="str">
        <f t="shared" si="1"/>
        <v/>
      </c>
      <c r="L76" s="32" t="str">
        <f t="array" ref="L76">IF(C76="","",IF(ISNA(MATCH(C76,'상품표'!$A$4:$A$18,0)),"상품명 확인",IF(H76="","수량 입력",IF(FALSE,"",IF(INDEX('상품표'!$B$4:$B$18,MATCH(C76,'상품표'!$A$4:$A$18,0))="의류",IF(D76="","사이즈 선택",IF(AND(LEFT(C76,4)="후드집업",OR(D76="XXS",D76="XS")),"후드는 S부터",IF(COUNTA(E76:G76)&gt;0,"세트 옵션은 세트만","OK"))),IF(INDEX('상품표'!$B$4:$B$18,MATCH(C76,'상품표'!$A$4:$A$18,0))="세트",IF(COUNTA(E76:G76)&lt;3,"세트 옵션 선택",IF(D76&lt;&gt;"","사이즈 불필요","OK")),IF(COUNTA(E76:G76)&gt;0,"세트 옵션은 세트만",IF(D76&lt;&gt;"","사이즈 불필요","OK"))))))))</f>
        <v/>
      </c>
      <c r="M76" s="44"/>
      <c r="N76" s="45"/>
    </row>
    <row r="77" ht="15.75" customHeight="1">
      <c r="A77" s="32">
        <v>72.0</v>
      </c>
      <c r="B77" s="33"/>
      <c r="C77" s="33"/>
      <c r="D77" s="33"/>
      <c r="E77" s="33"/>
      <c r="F77" s="33"/>
      <c r="G77" s="33"/>
      <c r="H77" s="33"/>
      <c r="I77" s="20" t="str">
        <f t="array" ref="I77">IF(C77="","",IFERROR(INDEX('상품표'!$C$4:$C$18,MATCH(C77,'상품표'!$A$4:$A$18,0)),""))</f>
        <v/>
      </c>
      <c r="J77" s="20" t="str">
        <f>IF(I77="","",ROUND(I77*(1-'상품표'!$G$4),0))</f>
        <v/>
      </c>
      <c r="K77" s="20" t="str">
        <f t="shared" si="1"/>
        <v/>
      </c>
      <c r="L77" s="32" t="str">
        <f t="array" ref="L77">IF(C77="","",IF(ISNA(MATCH(C77,'상품표'!$A$4:$A$18,0)),"상품명 확인",IF(H77="","수량 입력",IF(FALSE,"",IF(INDEX('상품표'!$B$4:$B$18,MATCH(C77,'상품표'!$A$4:$A$18,0))="의류",IF(D77="","사이즈 선택",IF(AND(LEFT(C77,4)="후드집업",OR(D77="XXS",D77="XS")),"후드는 S부터",IF(COUNTA(E77:G77)&gt;0,"세트 옵션은 세트만","OK"))),IF(INDEX('상품표'!$B$4:$B$18,MATCH(C77,'상품표'!$A$4:$A$18,0))="세트",IF(COUNTA(E77:G77)&lt;3,"세트 옵션 선택",IF(D77&lt;&gt;"","사이즈 불필요","OK")),IF(COUNTA(E77:G77)&gt;0,"세트 옵션은 세트만",IF(D77&lt;&gt;"","사이즈 불필요","OK"))))))))</f>
        <v/>
      </c>
      <c r="M77" s="44"/>
      <c r="N77" s="45"/>
    </row>
    <row r="78" ht="15.75" customHeight="1">
      <c r="A78" s="32">
        <v>73.0</v>
      </c>
      <c r="B78" s="33"/>
      <c r="C78" s="33"/>
      <c r="D78" s="33"/>
      <c r="E78" s="33"/>
      <c r="F78" s="33"/>
      <c r="G78" s="33"/>
      <c r="H78" s="33"/>
      <c r="I78" s="20" t="str">
        <f t="array" ref="I78">IF(C78="","",IFERROR(INDEX('상품표'!$C$4:$C$18,MATCH(C78,'상품표'!$A$4:$A$18,0)),""))</f>
        <v/>
      </c>
      <c r="J78" s="20" t="str">
        <f>IF(I78="","",ROUND(I78*(1-'상품표'!$G$4),0))</f>
        <v/>
      </c>
      <c r="K78" s="20" t="str">
        <f t="shared" si="1"/>
        <v/>
      </c>
      <c r="L78" s="32" t="str">
        <f t="array" ref="L78">IF(C78="","",IF(ISNA(MATCH(C78,'상품표'!$A$4:$A$18,0)),"상품명 확인",IF(H78="","수량 입력",IF(FALSE,"",IF(INDEX('상품표'!$B$4:$B$18,MATCH(C78,'상품표'!$A$4:$A$18,0))="의류",IF(D78="","사이즈 선택",IF(AND(LEFT(C78,4)="후드집업",OR(D78="XXS",D78="XS")),"후드는 S부터",IF(COUNTA(E78:G78)&gt;0,"세트 옵션은 세트만","OK"))),IF(INDEX('상품표'!$B$4:$B$18,MATCH(C78,'상품표'!$A$4:$A$18,0))="세트",IF(COUNTA(E78:G78)&lt;3,"세트 옵션 선택",IF(D78&lt;&gt;"","사이즈 불필요","OK")),IF(COUNTA(E78:G78)&gt;0,"세트 옵션은 세트만",IF(D78&lt;&gt;"","사이즈 불필요","OK"))))))))</f>
        <v/>
      </c>
      <c r="M78" s="44"/>
      <c r="N78" s="45"/>
    </row>
    <row r="79" ht="15.75" customHeight="1">
      <c r="A79" s="32">
        <v>74.0</v>
      </c>
      <c r="B79" s="33"/>
      <c r="C79" s="33"/>
      <c r="D79" s="33"/>
      <c r="E79" s="33"/>
      <c r="F79" s="33"/>
      <c r="G79" s="33"/>
      <c r="H79" s="33"/>
      <c r="I79" s="20" t="str">
        <f t="array" ref="I79">IF(C79="","",IFERROR(INDEX('상품표'!$C$4:$C$18,MATCH(C79,'상품표'!$A$4:$A$18,0)),""))</f>
        <v/>
      </c>
      <c r="J79" s="20" t="str">
        <f>IF(I79="","",ROUND(I79*(1-'상품표'!$G$4),0))</f>
        <v/>
      </c>
      <c r="K79" s="20" t="str">
        <f t="shared" si="1"/>
        <v/>
      </c>
      <c r="L79" s="32" t="str">
        <f t="array" ref="L79">IF(C79="","",IF(ISNA(MATCH(C79,'상품표'!$A$4:$A$18,0)),"상품명 확인",IF(H79="","수량 입력",IF(FALSE,"",IF(INDEX('상품표'!$B$4:$B$18,MATCH(C79,'상품표'!$A$4:$A$18,0))="의류",IF(D79="","사이즈 선택",IF(AND(LEFT(C79,4)="후드집업",OR(D79="XXS",D79="XS")),"후드는 S부터",IF(COUNTA(E79:G79)&gt;0,"세트 옵션은 세트만","OK"))),IF(INDEX('상품표'!$B$4:$B$18,MATCH(C79,'상품표'!$A$4:$A$18,0))="세트",IF(COUNTA(E79:G79)&lt;3,"세트 옵션 선택",IF(D79&lt;&gt;"","사이즈 불필요","OK")),IF(COUNTA(E79:G79)&gt;0,"세트 옵션은 세트만",IF(D79&lt;&gt;"","사이즈 불필요","OK"))))))))</f>
        <v/>
      </c>
      <c r="M79" s="44"/>
      <c r="N79" s="45"/>
    </row>
    <row r="80" ht="15.75" customHeight="1">
      <c r="A80" s="32">
        <v>75.0</v>
      </c>
      <c r="B80" s="33"/>
      <c r="C80" s="33"/>
      <c r="D80" s="33"/>
      <c r="E80" s="33"/>
      <c r="F80" s="33"/>
      <c r="G80" s="33"/>
      <c r="H80" s="33"/>
      <c r="I80" s="20" t="str">
        <f t="array" ref="I80">IF(C80="","",IFERROR(INDEX('상품표'!$C$4:$C$18,MATCH(C80,'상품표'!$A$4:$A$18,0)),""))</f>
        <v/>
      </c>
      <c r="J80" s="20" t="str">
        <f>IF(I80="","",ROUND(I80*(1-'상품표'!$G$4),0))</f>
        <v/>
      </c>
      <c r="K80" s="20" t="str">
        <f t="shared" si="1"/>
        <v/>
      </c>
      <c r="L80" s="32" t="str">
        <f t="array" ref="L80">IF(C80="","",IF(ISNA(MATCH(C80,'상품표'!$A$4:$A$18,0)),"상품명 확인",IF(H80="","수량 입력",IF(FALSE,"",IF(INDEX('상품표'!$B$4:$B$18,MATCH(C80,'상품표'!$A$4:$A$18,0))="의류",IF(D80="","사이즈 선택",IF(AND(LEFT(C80,4)="후드집업",OR(D80="XXS",D80="XS")),"후드는 S부터",IF(COUNTA(E80:G80)&gt;0,"세트 옵션은 세트만","OK"))),IF(INDEX('상품표'!$B$4:$B$18,MATCH(C80,'상품표'!$A$4:$A$18,0))="세트",IF(COUNTA(E80:G80)&lt;3,"세트 옵션 선택",IF(D80&lt;&gt;"","사이즈 불필요","OK")),IF(COUNTA(E80:G80)&gt;0,"세트 옵션은 세트만",IF(D80&lt;&gt;"","사이즈 불필요","OK"))))))))</f>
        <v/>
      </c>
      <c r="M80" s="44"/>
      <c r="N80" s="45"/>
    </row>
    <row r="81" ht="15.75" customHeight="1">
      <c r="A81" s="32">
        <v>76.0</v>
      </c>
      <c r="B81" s="33"/>
      <c r="C81" s="33"/>
      <c r="D81" s="33"/>
      <c r="E81" s="33"/>
      <c r="F81" s="33"/>
      <c r="G81" s="33"/>
      <c r="H81" s="33"/>
      <c r="I81" s="20" t="str">
        <f t="array" ref="I81">IF(C81="","",IFERROR(INDEX('상품표'!$C$4:$C$18,MATCH(C81,'상품표'!$A$4:$A$18,0)),""))</f>
        <v/>
      </c>
      <c r="J81" s="20" t="str">
        <f>IF(I81="","",ROUND(I81*(1-'상품표'!$G$4),0))</f>
        <v/>
      </c>
      <c r="K81" s="20" t="str">
        <f t="shared" si="1"/>
        <v/>
      </c>
      <c r="L81" s="32" t="str">
        <f t="array" ref="L81">IF(C81="","",IF(ISNA(MATCH(C81,'상품표'!$A$4:$A$18,0)),"상품명 확인",IF(H81="","수량 입력",IF(FALSE,"",IF(INDEX('상품표'!$B$4:$B$18,MATCH(C81,'상품표'!$A$4:$A$18,0))="의류",IF(D81="","사이즈 선택",IF(AND(LEFT(C81,4)="후드집업",OR(D81="XXS",D81="XS")),"후드는 S부터",IF(COUNTA(E81:G81)&gt;0,"세트 옵션은 세트만","OK"))),IF(INDEX('상품표'!$B$4:$B$18,MATCH(C81,'상품표'!$A$4:$A$18,0))="세트",IF(COUNTA(E81:G81)&lt;3,"세트 옵션 선택",IF(D81&lt;&gt;"","사이즈 불필요","OK")),IF(COUNTA(E81:G81)&gt;0,"세트 옵션은 세트만",IF(D81&lt;&gt;"","사이즈 불필요","OK"))))))))</f>
        <v/>
      </c>
      <c r="M81" s="44"/>
      <c r="N81" s="45"/>
    </row>
    <row r="82" ht="15.75" customHeight="1">
      <c r="A82" s="32">
        <v>77.0</v>
      </c>
      <c r="B82" s="33"/>
      <c r="C82" s="33"/>
      <c r="D82" s="33"/>
      <c r="E82" s="33"/>
      <c r="F82" s="33"/>
      <c r="G82" s="33"/>
      <c r="H82" s="33"/>
      <c r="I82" s="20" t="str">
        <f t="array" ref="I82">IF(C82="","",IFERROR(INDEX('상품표'!$C$4:$C$18,MATCH(C82,'상품표'!$A$4:$A$18,0)),""))</f>
        <v/>
      </c>
      <c r="J82" s="20" t="str">
        <f>IF(I82="","",ROUND(I82*(1-'상품표'!$G$4),0))</f>
        <v/>
      </c>
      <c r="K82" s="20" t="str">
        <f t="shared" si="1"/>
        <v/>
      </c>
      <c r="L82" s="32" t="str">
        <f t="array" ref="L82">IF(C82="","",IF(ISNA(MATCH(C82,'상품표'!$A$4:$A$18,0)),"상품명 확인",IF(H82="","수량 입력",IF(FALSE,"",IF(INDEX('상품표'!$B$4:$B$18,MATCH(C82,'상품표'!$A$4:$A$18,0))="의류",IF(D82="","사이즈 선택",IF(AND(LEFT(C82,4)="후드집업",OR(D82="XXS",D82="XS")),"후드는 S부터",IF(COUNTA(E82:G82)&gt;0,"세트 옵션은 세트만","OK"))),IF(INDEX('상품표'!$B$4:$B$18,MATCH(C82,'상품표'!$A$4:$A$18,0))="세트",IF(COUNTA(E82:G82)&lt;3,"세트 옵션 선택",IF(D82&lt;&gt;"","사이즈 불필요","OK")),IF(COUNTA(E82:G82)&gt;0,"세트 옵션은 세트만",IF(D82&lt;&gt;"","사이즈 불필요","OK"))))))))</f>
        <v/>
      </c>
      <c r="M82" s="44"/>
      <c r="N82" s="45"/>
    </row>
    <row r="83" ht="15.75" customHeight="1">
      <c r="A83" s="32">
        <v>78.0</v>
      </c>
      <c r="B83" s="33"/>
      <c r="C83" s="33"/>
      <c r="D83" s="33"/>
      <c r="E83" s="33"/>
      <c r="F83" s="33"/>
      <c r="G83" s="33"/>
      <c r="H83" s="33"/>
      <c r="I83" s="20" t="str">
        <f t="array" ref="I83">IF(C83="","",IFERROR(INDEX('상품표'!$C$4:$C$18,MATCH(C83,'상품표'!$A$4:$A$18,0)),""))</f>
        <v/>
      </c>
      <c r="J83" s="20" t="str">
        <f>IF(I83="","",ROUND(I83*(1-'상품표'!$G$4),0))</f>
        <v/>
      </c>
      <c r="K83" s="20" t="str">
        <f t="shared" si="1"/>
        <v/>
      </c>
      <c r="L83" s="32" t="str">
        <f t="array" ref="L83">IF(C83="","",IF(ISNA(MATCH(C83,'상품표'!$A$4:$A$18,0)),"상품명 확인",IF(H83="","수량 입력",IF(FALSE,"",IF(INDEX('상품표'!$B$4:$B$18,MATCH(C83,'상품표'!$A$4:$A$18,0))="의류",IF(D83="","사이즈 선택",IF(AND(LEFT(C83,4)="후드집업",OR(D83="XXS",D83="XS")),"후드는 S부터",IF(COUNTA(E83:G83)&gt;0,"세트 옵션은 세트만","OK"))),IF(INDEX('상품표'!$B$4:$B$18,MATCH(C83,'상품표'!$A$4:$A$18,0))="세트",IF(COUNTA(E83:G83)&lt;3,"세트 옵션 선택",IF(D83&lt;&gt;"","사이즈 불필요","OK")),IF(COUNTA(E83:G83)&gt;0,"세트 옵션은 세트만",IF(D83&lt;&gt;"","사이즈 불필요","OK"))))))))</f>
        <v/>
      </c>
      <c r="M83" s="44"/>
      <c r="N83" s="45"/>
    </row>
    <row r="84" ht="15.75" customHeight="1">
      <c r="A84" s="32">
        <v>79.0</v>
      </c>
      <c r="B84" s="33"/>
      <c r="C84" s="33"/>
      <c r="D84" s="33"/>
      <c r="E84" s="33"/>
      <c r="F84" s="33"/>
      <c r="G84" s="33"/>
      <c r="H84" s="33"/>
      <c r="I84" s="20" t="str">
        <f t="array" ref="I84">IF(C84="","",IFERROR(INDEX('상품표'!$C$4:$C$18,MATCH(C84,'상품표'!$A$4:$A$18,0)),""))</f>
        <v/>
      </c>
      <c r="J84" s="20" t="str">
        <f>IF(I84="","",ROUND(I84*(1-'상품표'!$G$4),0))</f>
        <v/>
      </c>
      <c r="K84" s="20" t="str">
        <f t="shared" si="1"/>
        <v/>
      </c>
      <c r="L84" s="32" t="str">
        <f t="array" ref="L84">IF(C84="","",IF(ISNA(MATCH(C84,'상품표'!$A$4:$A$18,0)),"상품명 확인",IF(H84="","수량 입력",IF(FALSE,"",IF(INDEX('상품표'!$B$4:$B$18,MATCH(C84,'상품표'!$A$4:$A$18,0))="의류",IF(D84="","사이즈 선택",IF(AND(LEFT(C84,4)="후드집업",OR(D84="XXS",D84="XS")),"후드는 S부터",IF(COUNTA(E84:G84)&gt;0,"세트 옵션은 세트만","OK"))),IF(INDEX('상품표'!$B$4:$B$18,MATCH(C84,'상품표'!$A$4:$A$18,0))="세트",IF(COUNTA(E84:G84)&lt;3,"세트 옵션 선택",IF(D84&lt;&gt;"","사이즈 불필요","OK")),IF(COUNTA(E84:G84)&gt;0,"세트 옵션은 세트만",IF(D84&lt;&gt;"","사이즈 불필요","OK"))))))))</f>
        <v/>
      </c>
      <c r="M84" s="44"/>
      <c r="N84" s="45"/>
    </row>
    <row r="85" ht="15.75" customHeight="1">
      <c r="A85" s="32">
        <v>80.0</v>
      </c>
      <c r="B85" s="33"/>
      <c r="C85" s="33"/>
      <c r="D85" s="33"/>
      <c r="E85" s="33"/>
      <c r="F85" s="33"/>
      <c r="G85" s="33"/>
      <c r="H85" s="33"/>
      <c r="I85" s="20" t="str">
        <f t="array" ref="I85">IF(C85="","",IFERROR(INDEX('상품표'!$C$4:$C$18,MATCH(C85,'상품표'!$A$4:$A$18,0)),""))</f>
        <v/>
      </c>
      <c r="J85" s="20" t="str">
        <f>IF(I85="","",ROUND(I85*(1-'상품표'!$G$4),0))</f>
        <v/>
      </c>
      <c r="K85" s="20" t="str">
        <f t="shared" si="1"/>
        <v/>
      </c>
      <c r="L85" s="32" t="str">
        <f t="array" ref="L85">IF(C85="","",IF(ISNA(MATCH(C85,'상품표'!$A$4:$A$18,0)),"상품명 확인",IF(H85="","수량 입력",IF(FALSE,"",IF(INDEX('상품표'!$B$4:$B$18,MATCH(C85,'상품표'!$A$4:$A$18,0))="의류",IF(D85="","사이즈 선택",IF(AND(LEFT(C85,4)="후드집업",OR(D85="XXS",D85="XS")),"후드는 S부터",IF(COUNTA(E85:G85)&gt;0,"세트 옵션은 세트만","OK"))),IF(INDEX('상품표'!$B$4:$B$18,MATCH(C85,'상품표'!$A$4:$A$18,0))="세트",IF(COUNTA(E85:G85)&lt;3,"세트 옵션 선택",IF(D85&lt;&gt;"","사이즈 불필요","OK")),IF(COUNTA(E85:G85)&gt;0,"세트 옵션은 세트만",IF(D85&lt;&gt;"","사이즈 불필요","OK"))))))))</f>
        <v/>
      </c>
      <c r="M85" s="44"/>
      <c r="N85" s="45"/>
    </row>
    <row r="86" ht="15.75" customHeight="1">
      <c r="A86" s="32">
        <v>81.0</v>
      </c>
      <c r="B86" s="33"/>
      <c r="C86" s="33"/>
      <c r="D86" s="33"/>
      <c r="E86" s="33"/>
      <c r="F86" s="33"/>
      <c r="G86" s="33"/>
      <c r="H86" s="33"/>
      <c r="I86" s="20" t="str">
        <f t="array" ref="I86">IF(C86="","",IFERROR(INDEX('상품표'!$C$4:$C$18,MATCH(C86,'상품표'!$A$4:$A$18,0)),""))</f>
        <v/>
      </c>
      <c r="J86" s="20" t="str">
        <f>IF(I86="","",ROUND(I86*(1-'상품표'!$G$4),0))</f>
        <v/>
      </c>
      <c r="K86" s="20" t="str">
        <f t="shared" si="1"/>
        <v/>
      </c>
      <c r="L86" s="32" t="str">
        <f t="array" ref="L86">IF(C86="","",IF(ISNA(MATCH(C86,'상품표'!$A$4:$A$18,0)),"상품명 확인",IF(H86="","수량 입력",IF(FALSE,"",IF(INDEX('상품표'!$B$4:$B$18,MATCH(C86,'상품표'!$A$4:$A$18,0))="의류",IF(D86="","사이즈 선택",IF(AND(LEFT(C86,4)="후드집업",OR(D86="XXS",D86="XS")),"후드는 S부터",IF(COUNTA(E86:G86)&gt;0,"세트 옵션은 세트만","OK"))),IF(INDEX('상품표'!$B$4:$B$18,MATCH(C86,'상품표'!$A$4:$A$18,0))="세트",IF(COUNTA(E86:G86)&lt;3,"세트 옵션 선택",IF(D86&lt;&gt;"","사이즈 불필요","OK")),IF(COUNTA(E86:G86)&gt;0,"세트 옵션은 세트만",IF(D86&lt;&gt;"","사이즈 불필요","OK"))))))))</f>
        <v/>
      </c>
      <c r="M86" s="44"/>
      <c r="N86" s="45"/>
    </row>
    <row r="87" ht="15.75" customHeight="1">
      <c r="A87" s="32">
        <v>82.0</v>
      </c>
      <c r="B87" s="33"/>
      <c r="C87" s="33"/>
      <c r="D87" s="33"/>
      <c r="E87" s="33"/>
      <c r="F87" s="33"/>
      <c r="G87" s="33"/>
      <c r="H87" s="33"/>
      <c r="I87" s="20" t="str">
        <f t="array" ref="I87">IF(C87="","",IFERROR(INDEX('상품표'!$C$4:$C$18,MATCH(C87,'상품표'!$A$4:$A$18,0)),""))</f>
        <v/>
      </c>
      <c r="J87" s="20" t="str">
        <f>IF(I87="","",ROUND(I87*(1-'상품표'!$G$4),0))</f>
        <v/>
      </c>
      <c r="K87" s="20" t="str">
        <f t="shared" si="1"/>
        <v/>
      </c>
      <c r="L87" s="32" t="str">
        <f t="array" ref="L87">IF(C87="","",IF(ISNA(MATCH(C87,'상품표'!$A$4:$A$18,0)),"상품명 확인",IF(H87="","수량 입력",IF(FALSE,"",IF(INDEX('상품표'!$B$4:$B$18,MATCH(C87,'상품표'!$A$4:$A$18,0))="의류",IF(D87="","사이즈 선택",IF(AND(LEFT(C87,4)="후드집업",OR(D87="XXS",D87="XS")),"후드는 S부터",IF(COUNTA(E87:G87)&gt;0,"세트 옵션은 세트만","OK"))),IF(INDEX('상품표'!$B$4:$B$18,MATCH(C87,'상품표'!$A$4:$A$18,0))="세트",IF(COUNTA(E87:G87)&lt;3,"세트 옵션 선택",IF(D87&lt;&gt;"","사이즈 불필요","OK")),IF(COUNTA(E87:G87)&gt;0,"세트 옵션은 세트만",IF(D87&lt;&gt;"","사이즈 불필요","OK"))))))))</f>
        <v/>
      </c>
      <c r="M87" s="44"/>
      <c r="N87" s="45"/>
    </row>
    <row r="88" ht="15.75" customHeight="1">
      <c r="A88" s="32">
        <v>83.0</v>
      </c>
      <c r="B88" s="33"/>
      <c r="C88" s="33"/>
      <c r="D88" s="33"/>
      <c r="E88" s="33"/>
      <c r="F88" s="33"/>
      <c r="G88" s="33"/>
      <c r="H88" s="33"/>
      <c r="I88" s="20" t="str">
        <f t="array" ref="I88">IF(C88="","",IFERROR(INDEX('상품표'!$C$4:$C$18,MATCH(C88,'상품표'!$A$4:$A$18,0)),""))</f>
        <v/>
      </c>
      <c r="J88" s="20" t="str">
        <f>IF(I88="","",ROUND(I88*(1-'상품표'!$G$4),0))</f>
        <v/>
      </c>
      <c r="K88" s="20" t="str">
        <f t="shared" si="1"/>
        <v/>
      </c>
      <c r="L88" s="32" t="str">
        <f t="array" ref="L88">IF(C88="","",IF(ISNA(MATCH(C88,'상품표'!$A$4:$A$18,0)),"상품명 확인",IF(H88="","수량 입력",IF(FALSE,"",IF(INDEX('상품표'!$B$4:$B$18,MATCH(C88,'상품표'!$A$4:$A$18,0))="의류",IF(D88="","사이즈 선택",IF(AND(LEFT(C88,4)="후드집업",OR(D88="XXS",D88="XS")),"후드는 S부터",IF(COUNTA(E88:G88)&gt;0,"세트 옵션은 세트만","OK"))),IF(INDEX('상품표'!$B$4:$B$18,MATCH(C88,'상품표'!$A$4:$A$18,0))="세트",IF(COUNTA(E88:G88)&lt;3,"세트 옵션 선택",IF(D88&lt;&gt;"","사이즈 불필요","OK")),IF(COUNTA(E88:G88)&gt;0,"세트 옵션은 세트만",IF(D88&lt;&gt;"","사이즈 불필요","OK"))))))))</f>
        <v/>
      </c>
      <c r="M88" s="44"/>
      <c r="N88" s="45"/>
    </row>
    <row r="89" ht="15.75" customHeight="1">
      <c r="A89" s="32">
        <v>84.0</v>
      </c>
      <c r="B89" s="33"/>
      <c r="C89" s="33"/>
      <c r="D89" s="33"/>
      <c r="E89" s="33"/>
      <c r="F89" s="33"/>
      <c r="G89" s="33"/>
      <c r="H89" s="33"/>
      <c r="I89" s="20" t="str">
        <f t="array" ref="I89">IF(C89="","",IFERROR(INDEX('상품표'!$C$4:$C$18,MATCH(C89,'상품표'!$A$4:$A$18,0)),""))</f>
        <v/>
      </c>
      <c r="J89" s="20" t="str">
        <f>IF(I89="","",ROUND(I89*(1-'상품표'!$G$4),0))</f>
        <v/>
      </c>
      <c r="K89" s="20" t="str">
        <f t="shared" si="1"/>
        <v/>
      </c>
      <c r="L89" s="32" t="str">
        <f t="array" ref="L89">IF(C89="","",IF(ISNA(MATCH(C89,'상품표'!$A$4:$A$18,0)),"상품명 확인",IF(H89="","수량 입력",IF(FALSE,"",IF(INDEX('상품표'!$B$4:$B$18,MATCH(C89,'상품표'!$A$4:$A$18,0))="의류",IF(D89="","사이즈 선택",IF(AND(LEFT(C89,4)="후드집업",OR(D89="XXS",D89="XS")),"후드는 S부터",IF(COUNTA(E89:G89)&gt;0,"세트 옵션은 세트만","OK"))),IF(INDEX('상품표'!$B$4:$B$18,MATCH(C89,'상품표'!$A$4:$A$18,0))="세트",IF(COUNTA(E89:G89)&lt;3,"세트 옵션 선택",IF(D89&lt;&gt;"","사이즈 불필요","OK")),IF(COUNTA(E89:G89)&gt;0,"세트 옵션은 세트만",IF(D89&lt;&gt;"","사이즈 불필요","OK"))))))))</f>
        <v/>
      </c>
      <c r="M89" s="44"/>
      <c r="N89" s="45"/>
    </row>
    <row r="90" ht="15.75" customHeight="1">
      <c r="A90" s="32">
        <v>85.0</v>
      </c>
      <c r="B90" s="33"/>
      <c r="C90" s="33"/>
      <c r="D90" s="33"/>
      <c r="E90" s="33"/>
      <c r="F90" s="33"/>
      <c r="G90" s="33"/>
      <c r="H90" s="33"/>
      <c r="I90" s="20" t="str">
        <f t="array" ref="I90">IF(C90="","",IFERROR(INDEX('상품표'!$C$4:$C$18,MATCH(C90,'상품표'!$A$4:$A$18,0)),""))</f>
        <v/>
      </c>
      <c r="J90" s="20" t="str">
        <f>IF(I90="","",ROUND(I90*(1-'상품표'!$G$4),0))</f>
        <v/>
      </c>
      <c r="K90" s="20" t="str">
        <f t="shared" si="1"/>
        <v/>
      </c>
      <c r="L90" s="32" t="str">
        <f t="array" ref="L90">IF(C90="","",IF(ISNA(MATCH(C90,'상품표'!$A$4:$A$18,0)),"상품명 확인",IF(H90="","수량 입력",IF(FALSE,"",IF(INDEX('상품표'!$B$4:$B$18,MATCH(C90,'상품표'!$A$4:$A$18,0))="의류",IF(D90="","사이즈 선택",IF(AND(LEFT(C90,4)="후드집업",OR(D90="XXS",D90="XS")),"후드는 S부터",IF(COUNTA(E90:G90)&gt;0,"세트 옵션은 세트만","OK"))),IF(INDEX('상품표'!$B$4:$B$18,MATCH(C90,'상품표'!$A$4:$A$18,0))="세트",IF(COUNTA(E90:G90)&lt;3,"세트 옵션 선택",IF(D90&lt;&gt;"","사이즈 불필요","OK")),IF(COUNTA(E90:G90)&gt;0,"세트 옵션은 세트만",IF(D90&lt;&gt;"","사이즈 불필요","OK"))))))))</f>
        <v/>
      </c>
      <c r="M90" s="44"/>
      <c r="N90" s="45"/>
    </row>
    <row r="91" ht="15.75" customHeight="1">
      <c r="A91" s="32">
        <v>86.0</v>
      </c>
      <c r="B91" s="33"/>
      <c r="C91" s="33"/>
      <c r="D91" s="33"/>
      <c r="E91" s="33"/>
      <c r="F91" s="33"/>
      <c r="G91" s="33"/>
      <c r="H91" s="33"/>
      <c r="I91" s="20" t="str">
        <f t="array" ref="I91">IF(C91="","",IFERROR(INDEX('상품표'!$C$4:$C$18,MATCH(C91,'상품표'!$A$4:$A$18,0)),""))</f>
        <v/>
      </c>
      <c r="J91" s="20" t="str">
        <f>IF(I91="","",ROUND(I91*(1-'상품표'!$G$4),0))</f>
        <v/>
      </c>
      <c r="K91" s="20" t="str">
        <f t="shared" si="1"/>
        <v/>
      </c>
      <c r="L91" s="32" t="str">
        <f t="array" ref="L91">IF(C91="","",IF(ISNA(MATCH(C91,'상품표'!$A$4:$A$18,0)),"상품명 확인",IF(H91="","수량 입력",IF(FALSE,"",IF(INDEX('상품표'!$B$4:$B$18,MATCH(C91,'상품표'!$A$4:$A$18,0))="의류",IF(D91="","사이즈 선택",IF(AND(LEFT(C91,4)="후드집업",OR(D91="XXS",D91="XS")),"후드는 S부터",IF(COUNTA(E91:G91)&gt;0,"세트 옵션은 세트만","OK"))),IF(INDEX('상품표'!$B$4:$B$18,MATCH(C91,'상품표'!$A$4:$A$18,0))="세트",IF(COUNTA(E91:G91)&lt;3,"세트 옵션 선택",IF(D91&lt;&gt;"","사이즈 불필요","OK")),IF(COUNTA(E91:G91)&gt;0,"세트 옵션은 세트만",IF(D91&lt;&gt;"","사이즈 불필요","OK"))))))))</f>
        <v/>
      </c>
      <c r="M91" s="44"/>
      <c r="N91" s="45"/>
    </row>
    <row r="92" ht="15.75" customHeight="1">
      <c r="A92" s="32">
        <v>87.0</v>
      </c>
      <c r="B92" s="33"/>
      <c r="C92" s="33"/>
      <c r="D92" s="33"/>
      <c r="E92" s="33"/>
      <c r="F92" s="33"/>
      <c r="G92" s="33"/>
      <c r="H92" s="33"/>
      <c r="I92" s="20" t="str">
        <f t="array" ref="I92">IF(C92="","",IFERROR(INDEX('상품표'!$C$4:$C$18,MATCH(C92,'상품표'!$A$4:$A$18,0)),""))</f>
        <v/>
      </c>
      <c r="J92" s="20" t="str">
        <f>IF(I92="","",ROUND(I92*(1-'상품표'!$G$4),0))</f>
        <v/>
      </c>
      <c r="K92" s="20" t="str">
        <f t="shared" si="1"/>
        <v/>
      </c>
      <c r="L92" s="32" t="str">
        <f t="array" ref="L92">IF(C92="","",IF(ISNA(MATCH(C92,'상품표'!$A$4:$A$18,0)),"상품명 확인",IF(H92="","수량 입력",IF(FALSE,"",IF(INDEX('상품표'!$B$4:$B$18,MATCH(C92,'상품표'!$A$4:$A$18,0))="의류",IF(D92="","사이즈 선택",IF(AND(LEFT(C92,4)="후드집업",OR(D92="XXS",D92="XS")),"후드는 S부터",IF(COUNTA(E92:G92)&gt;0,"세트 옵션은 세트만","OK"))),IF(INDEX('상품표'!$B$4:$B$18,MATCH(C92,'상품표'!$A$4:$A$18,0))="세트",IF(COUNTA(E92:G92)&lt;3,"세트 옵션 선택",IF(D92&lt;&gt;"","사이즈 불필요","OK")),IF(COUNTA(E92:G92)&gt;0,"세트 옵션은 세트만",IF(D92&lt;&gt;"","사이즈 불필요","OK"))))))))</f>
        <v/>
      </c>
      <c r="M92" s="44"/>
      <c r="N92" s="45"/>
    </row>
    <row r="93" ht="15.75" customHeight="1">
      <c r="A93" s="32">
        <v>88.0</v>
      </c>
      <c r="B93" s="33"/>
      <c r="C93" s="33"/>
      <c r="D93" s="33"/>
      <c r="E93" s="33"/>
      <c r="F93" s="33"/>
      <c r="G93" s="33"/>
      <c r="H93" s="33"/>
      <c r="I93" s="20" t="str">
        <f t="array" ref="I93">IF(C93="","",IFERROR(INDEX('상품표'!$C$4:$C$18,MATCH(C93,'상품표'!$A$4:$A$18,0)),""))</f>
        <v/>
      </c>
      <c r="J93" s="20" t="str">
        <f>IF(I93="","",ROUND(I93*(1-'상품표'!$G$4),0))</f>
        <v/>
      </c>
      <c r="K93" s="20" t="str">
        <f t="shared" si="1"/>
        <v/>
      </c>
      <c r="L93" s="32" t="str">
        <f t="array" ref="L93">IF(C93="","",IF(ISNA(MATCH(C93,'상품표'!$A$4:$A$18,0)),"상품명 확인",IF(H93="","수량 입력",IF(FALSE,"",IF(INDEX('상품표'!$B$4:$B$18,MATCH(C93,'상품표'!$A$4:$A$18,0))="의류",IF(D93="","사이즈 선택",IF(AND(LEFT(C93,4)="후드집업",OR(D93="XXS",D93="XS")),"후드는 S부터",IF(COUNTA(E93:G93)&gt;0,"세트 옵션은 세트만","OK"))),IF(INDEX('상품표'!$B$4:$B$18,MATCH(C93,'상품표'!$A$4:$A$18,0))="세트",IF(COUNTA(E93:G93)&lt;3,"세트 옵션 선택",IF(D93&lt;&gt;"","사이즈 불필요","OK")),IF(COUNTA(E93:G93)&gt;0,"세트 옵션은 세트만",IF(D93&lt;&gt;"","사이즈 불필요","OK"))))))))</f>
        <v/>
      </c>
      <c r="M93" s="44"/>
      <c r="N93" s="45"/>
    </row>
    <row r="94" ht="15.75" customHeight="1">
      <c r="A94" s="32">
        <v>89.0</v>
      </c>
      <c r="B94" s="33"/>
      <c r="C94" s="33"/>
      <c r="D94" s="33"/>
      <c r="E94" s="33"/>
      <c r="F94" s="33"/>
      <c r="G94" s="33"/>
      <c r="H94" s="33"/>
      <c r="I94" s="20" t="str">
        <f t="array" ref="I94">IF(C94="","",IFERROR(INDEX('상품표'!$C$4:$C$18,MATCH(C94,'상품표'!$A$4:$A$18,0)),""))</f>
        <v/>
      </c>
      <c r="J94" s="20" t="str">
        <f>IF(I94="","",ROUND(I94*(1-'상품표'!$G$4),0))</f>
        <v/>
      </c>
      <c r="K94" s="20" t="str">
        <f t="shared" si="1"/>
        <v/>
      </c>
      <c r="L94" s="32" t="str">
        <f t="array" ref="L94">IF(C94="","",IF(ISNA(MATCH(C94,'상품표'!$A$4:$A$18,0)),"상품명 확인",IF(H94="","수량 입력",IF(FALSE,"",IF(INDEX('상품표'!$B$4:$B$18,MATCH(C94,'상품표'!$A$4:$A$18,0))="의류",IF(D94="","사이즈 선택",IF(AND(LEFT(C94,4)="후드집업",OR(D94="XXS",D94="XS")),"후드는 S부터",IF(COUNTA(E94:G94)&gt;0,"세트 옵션은 세트만","OK"))),IF(INDEX('상품표'!$B$4:$B$18,MATCH(C94,'상품표'!$A$4:$A$18,0))="세트",IF(COUNTA(E94:G94)&lt;3,"세트 옵션 선택",IF(D94&lt;&gt;"","사이즈 불필요","OK")),IF(COUNTA(E94:G94)&gt;0,"세트 옵션은 세트만",IF(D94&lt;&gt;"","사이즈 불필요","OK"))))))))</f>
        <v/>
      </c>
      <c r="M94" s="44"/>
      <c r="N94" s="45"/>
    </row>
    <row r="95" ht="15.75" customHeight="1">
      <c r="A95" s="32">
        <v>90.0</v>
      </c>
      <c r="B95" s="33"/>
      <c r="C95" s="33"/>
      <c r="D95" s="33"/>
      <c r="E95" s="33"/>
      <c r="F95" s="33"/>
      <c r="G95" s="33"/>
      <c r="H95" s="33"/>
      <c r="I95" s="20" t="str">
        <f t="array" ref="I95">IF(C95="","",IFERROR(INDEX('상품표'!$C$4:$C$18,MATCH(C95,'상품표'!$A$4:$A$18,0)),""))</f>
        <v/>
      </c>
      <c r="J95" s="20" t="str">
        <f>IF(I95="","",ROUND(I95*(1-'상품표'!$G$4),0))</f>
        <v/>
      </c>
      <c r="K95" s="20" t="str">
        <f t="shared" si="1"/>
        <v/>
      </c>
      <c r="L95" s="32" t="str">
        <f t="array" ref="L95">IF(C95="","",IF(ISNA(MATCH(C95,'상품표'!$A$4:$A$18,0)),"상품명 확인",IF(H95="","수량 입력",IF(FALSE,"",IF(INDEX('상품표'!$B$4:$B$18,MATCH(C95,'상품표'!$A$4:$A$18,0))="의류",IF(D95="","사이즈 선택",IF(AND(LEFT(C95,4)="후드집업",OR(D95="XXS",D95="XS")),"후드는 S부터",IF(COUNTA(E95:G95)&gt;0,"세트 옵션은 세트만","OK"))),IF(INDEX('상품표'!$B$4:$B$18,MATCH(C95,'상품표'!$A$4:$A$18,0))="세트",IF(COUNTA(E95:G95)&lt;3,"세트 옵션 선택",IF(D95&lt;&gt;"","사이즈 불필요","OK")),IF(COUNTA(E95:G95)&gt;0,"세트 옵션은 세트만",IF(D95&lt;&gt;"","사이즈 불필요","OK"))))))))</f>
        <v/>
      </c>
      <c r="M95" s="44"/>
      <c r="N95" s="45"/>
    </row>
    <row r="96" ht="15.75" customHeight="1">
      <c r="A96" s="32">
        <v>91.0</v>
      </c>
      <c r="B96" s="33"/>
      <c r="C96" s="33"/>
      <c r="D96" s="33"/>
      <c r="E96" s="33"/>
      <c r="F96" s="33"/>
      <c r="G96" s="33"/>
      <c r="H96" s="33"/>
      <c r="I96" s="20" t="str">
        <f t="array" ref="I96">IF(C96="","",IFERROR(INDEX('상품표'!$C$4:$C$18,MATCH(C96,'상품표'!$A$4:$A$18,0)),""))</f>
        <v/>
      </c>
      <c r="J96" s="20" t="str">
        <f>IF(I96="","",ROUND(I96*(1-'상품표'!$G$4),0))</f>
        <v/>
      </c>
      <c r="K96" s="20" t="str">
        <f t="shared" si="1"/>
        <v/>
      </c>
      <c r="L96" s="32" t="str">
        <f t="array" ref="L96">IF(C96="","",IF(ISNA(MATCH(C96,'상품표'!$A$4:$A$18,0)),"상품명 확인",IF(H96="","수량 입력",IF(FALSE,"",IF(INDEX('상품표'!$B$4:$B$18,MATCH(C96,'상품표'!$A$4:$A$18,0))="의류",IF(D96="","사이즈 선택",IF(AND(LEFT(C96,4)="후드집업",OR(D96="XXS",D96="XS")),"후드는 S부터",IF(COUNTA(E96:G96)&gt;0,"세트 옵션은 세트만","OK"))),IF(INDEX('상품표'!$B$4:$B$18,MATCH(C96,'상품표'!$A$4:$A$18,0))="세트",IF(COUNTA(E96:G96)&lt;3,"세트 옵션 선택",IF(D96&lt;&gt;"","사이즈 불필요","OK")),IF(COUNTA(E96:G96)&gt;0,"세트 옵션은 세트만",IF(D96&lt;&gt;"","사이즈 불필요","OK"))))))))</f>
        <v/>
      </c>
      <c r="M96" s="44"/>
      <c r="N96" s="45"/>
    </row>
    <row r="97" ht="15.75" customHeight="1">
      <c r="A97" s="32">
        <v>92.0</v>
      </c>
      <c r="B97" s="33"/>
      <c r="C97" s="33"/>
      <c r="D97" s="33"/>
      <c r="E97" s="33"/>
      <c r="F97" s="33"/>
      <c r="G97" s="33"/>
      <c r="H97" s="33"/>
      <c r="I97" s="20" t="str">
        <f t="array" ref="I97">IF(C97="","",IFERROR(INDEX('상품표'!$C$4:$C$18,MATCH(C97,'상품표'!$A$4:$A$18,0)),""))</f>
        <v/>
      </c>
      <c r="J97" s="20" t="str">
        <f>IF(I97="","",ROUND(I97*(1-'상품표'!$G$4),0))</f>
        <v/>
      </c>
      <c r="K97" s="20" t="str">
        <f t="shared" si="1"/>
        <v/>
      </c>
      <c r="L97" s="32" t="str">
        <f t="array" ref="L97">IF(C97="","",IF(ISNA(MATCH(C97,'상품표'!$A$4:$A$18,0)),"상품명 확인",IF(H97="","수량 입력",IF(FALSE,"",IF(INDEX('상품표'!$B$4:$B$18,MATCH(C97,'상품표'!$A$4:$A$18,0))="의류",IF(D97="","사이즈 선택",IF(AND(LEFT(C97,4)="후드집업",OR(D97="XXS",D97="XS")),"후드는 S부터",IF(COUNTA(E97:G97)&gt;0,"세트 옵션은 세트만","OK"))),IF(INDEX('상품표'!$B$4:$B$18,MATCH(C97,'상품표'!$A$4:$A$18,0))="세트",IF(COUNTA(E97:G97)&lt;3,"세트 옵션 선택",IF(D97&lt;&gt;"","사이즈 불필요","OK")),IF(COUNTA(E97:G97)&gt;0,"세트 옵션은 세트만",IF(D97&lt;&gt;"","사이즈 불필요","OK"))))))))</f>
        <v/>
      </c>
      <c r="M97" s="44"/>
      <c r="N97" s="45"/>
    </row>
    <row r="98" ht="15.75" customHeight="1">
      <c r="A98" s="32">
        <v>93.0</v>
      </c>
      <c r="B98" s="33"/>
      <c r="C98" s="33"/>
      <c r="D98" s="33"/>
      <c r="E98" s="33"/>
      <c r="F98" s="33"/>
      <c r="G98" s="33"/>
      <c r="H98" s="33"/>
      <c r="I98" s="20" t="str">
        <f t="array" ref="I98">IF(C98="","",IFERROR(INDEX('상품표'!$C$4:$C$18,MATCH(C98,'상품표'!$A$4:$A$18,0)),""))</f>
        <v/>
      </c>
      <c r="J98" s="20" t="str">
        <f>IF(I98="","",ROUND(I98*(1-'상품표'!$G$4),0))</f>
        <v/>
      </c>
      <c r="K98" s="20" t="str">
        <f t="shared" si="1"/>
        <v/>
      </c>
      <c r="L98" s="32" t="str">
        <f t="array" ref="L98">IF(C98="","",IF(ISNA(MATCH(C98,'상품표'!$A$4:$A$18,0)),"상품명 확인",IF(H98="","수량 입력",IF(FALSE,"",IF(INDEX('상품표'!$B$4:$B$18,MATCH(C98,'상품표'!$A$4:$A$18,0))="의류",IF(D98="","사이즈 선택",IF(AND(LEFT(C98,4)="후드집업",OR(D98="XXS",D98="XS")),"후드는 S부터",IF(COUNTA(E98:G98)&gt;0,"세트 옵션은 세트만","OK"))),IF(INDEX('상품표'!$B$4:$B$18,MATCH(C98,'상품표'!$A$4:$A$18,0))="세트",IF(COUNTA(E98:G98)&lt;3,"세트 옵션 선택",IF(D98&lt;&gt;"","사이즈 불필요","OK")),IF(COUNTA(E98:G98)&gt;0,"세트 옵션은 세트만",IF(D98&lt;&gt;"","사이즈 불필요","OK"))))))))</f>
        <v/>
      </c>
      <c r="M98" s="44"/>
      <c r="N98" s="45"/>
    </row>
    <row r="99" ht="15.75" customHeight="1">
      <c r="A99" s="32">
        <v>94.0</v>
      </c>
      <c r="B99" s="33"/>
      <c r="C99" s="33"/>
      <c r="D99" s="33"/>
      <c r="E99" s="33"/>
      <c r="F99" s="33"/>
      <c r="G99" s="33"/>
      <c r="H99" s="33"/>
      <c r="I99" s="20" t="str">
        <f t="array" ref="I99">IF(C99="","",IFERROR(INDEX('상품표'!$C$4:$C$18,MATCH(C99,'상품표'!$A$4:$A$18,0)),""))</f>
        <v/>
      </c>
      <c r="J99" s="20" t="str">
        <f>IF(I99="","",ROUND(I99*(1-'상품표'!$G$4),0))</f>
        <v/>
      </c>
      <c r="K99" s="20" t="str">
        <f t="shared" si="1"/>
        <v/>
      </c>
      <c r="L99" s="32" t="str">
        <f t="array" ref="L99">IF(C99="","",IF(ISNA(MATCH(C99,'상품표'!$A$4:$A$18,0)),"상품명 확인",IF(H99="","수량 입력",IF(FALSE,"",IF(INDEX('상품표'!$B$4:$B$18,MATCH(C99,'상품표'!$A$4:$A$18,0))="의류",IF(D99="","사이즈 선택",IF(AND(LEFT(C99,4)="후드집업",OR(D99="XXS",D99="XS")),"후드는 S부터",IF(COUNTA(E99:G99)&gt;0,"세트 옵션은 세트만","OK"))),IF(INDEX('상품표'!$B$4:$B$18,MATCH(C99,'상품표'!$A$4:$A$18,0))="세트",IF(COUNTA(E99:G99)&lt;3,"세트 옵션 선택",IF(D99&lt;&gt;"","사이즈 불필요","OK")),IF(COUNTA(E99:G99)&gt;0,"세트 옵션은 세트만",IF(D99&lt;&gt;"","사이즈 불필요","OK"))))))))</f>
        <v/>
      </c>
      <c r="M99" s="44"/>
      <c r="N99" s="45"/>
    </row>
    <row r="100" ht="15.75" customHeight="1">
      <c r="A100" s="32">
        <v>95.0</v>
      </c>
      <c r="B100" s="33"/>
      <c r="C100" s="33"/>
      <c r="D100" s="33"/>
      <c r="E100" s="33"/>
      <c r="F100" s="33"/>
      <c r="G100" s="33"/>
      <c r="H100" s="33"/>
      <c r="I100" s="20" t="str">
        <f t="array" ref="I100">IF(C100="","",IFERROR(INDEX('상품표'!$C$4:$C$18,MATCH(C100,'상품표'!$A$4:$A$18,0)),""))</f>
        <v/>
      </c>
      <c r="J100" s="20" t="str">
        <f>IF(I100="","",ROUND(I100*(1-'상품표'!$G$4),0))</f>
        <v/>
      </c>
      <c r="K100" s="20" t="str">
        <f t="shared" si="1"/>
        <v/>
      </c>
      <c r="L100" s="32" t="str">
        <f t="array" ref="L100">IF(C100="","",IF(ISNA(MATCH(C100,'상품표'!$A$4:$A$18,0)),"상품명 확인",IF(H100="","수량 입력",IF(FALSE,"",IF(INDEX('상품표'!$B$4:$B$18,MATCH(C100,'상품표'!$A$4:$A$18,0))="의류",IF(D100="","사이즈 선택",IF(AND(LEFT(C100,4)="후드집업",OR(D100="XXS",D100="XS")),"후드는 S부터",IF(COUNTA(E100:G100)&gt;0,"세트 옵션은 세트만","OK"))),IF(INDEX('상품표'!$B$4:$B$18,MATCH(C100,'상품표'!$A$4:$A$18,0))="세트",IF(COUNTA(E100:G100)&lt;3,"세트 옵션 선택",IF(D100&lt;&gt;"","사이즈 불필요","OK")),IF(COUNTA(E100:G100)&gt;0,"세트 옵션은 세트만",IF(D100&lt;&gt;"","사이즈 불필요","OK"))))))))</f>
        <v/>
      </c>
      <c r="M100" s="44"/>
      <c r="N100" s="45"/>
    </row>
    <row r="101" ht="15.75" customHeight="1">
      <c r="A101" s="32">
        <v>96.0</v>
      </c>
      <c r="B101" s="33"/>
      <c r="C101" s="33"/>
      <c r="D101" s="33"/>
      <c r="E101" s="33"/>
      <c r="F101" s="33"/>
      <c r="G101" s="33"/>
      <c r="H101" s="33"/>
      <c r="I101" s="20" t="str">
        <f t="array" ref="I101">IF(C101="","",IFERROR(INDEX('상품표'!$C$4:$C$18,MATCH(C101,'상품표'!$A$4:$A$18,0)),""))</f>
        <v/>
      </c>
      <c r="J101" s="20" t="str">
        <f>IF(I101="","",ROUND(I101*(1-'상품표'!$G$4),0))</f>
        <v/>
      </c>
      <c r="K101" s="20" t="str">
        <f t="shared" si="1"/>
        <v/>
      </c>
      <c r="L101" s="32" t="str">
        <f t="array" ref="L101">IF(C101="","",IF(ISNA(MATCH(C101,'상품표'!$A$4:$A$18,0)),"상품명 확인",IF(H101="","수량 입력",IF(FALSE,"",IF(INDEX('상품표'!$B$4:$B$18,MATCH(C101,'상품표'!$A$4:$A$18,0))="의류",IF(D101="","사이즈 선택",IF(AND(LEFT(C101,4)="후드집업",OR(D101="XXS",D101="XS")),"후드는 S부터",IF(COUNTA(E101:G101)&gt;0,"세트 옵션은 세트만","OK"))),IF(INDEX('상품표'!$B$4:$B$18,MATCH(C101,'상품표'!$A$4:$A$18,0))="세트",IF(COUNTA(E101:G101)&lt;3,"세트 옵션 선택",IF(D101&lt;&gt;"","사이즈 불필요","OK")),IF(COUNTA(E101:G101)&gt;0,"세트 옵션은 세트만",IF(D101&lt;&gt;"","사이즈 불필요","OK"))))))))</f>
        <v/>
      </c>
      <c r="M101" s="44"/>
      <c r="N101" s="45"/>
    </row>
    <row r="102" ht="15.75" customHeight="1">
      <c r="A102" s="32">
        <v>97.0</v>
      </c>
      <c r="B102" s="33"/>
      <c r="C102" s="33"/>
      <c r="D102" s="33"/>
      <c r="E102" s="33"/>
      <c r="F102" s="33"/>
      <c r="G102" s="33"/>
      <c r="H102" s="33"/>
      <c r="I102" s="20" t="str">
        <f t="array" ref="I102">IF(C102="","",IFERROR(INDEX('상품표'!$C$4:$C$18,MATCH(C102,'상품표'!$A$4:$A$18,0)),""))</f>
        <v/>
      </c>
      <c r="J102" s="20" t="str">
        <f>IF(I102="","",ROUND(I102*(1-'상품표'!$G$4),0))</f>
        <v/>
      </c>
      <c r="K102" s="20" t="str">
        <f t="shared" si="1"/>
        <v/>
      </c>
      <c r="L102" s="32" t="str">
        <f t="array" ref="L102">IF(C102="","",IF(ISNA(MATCH(C102,'상품표'!$A$4:$A$18,0)),"상품명 확인",IF(H102="","수량 입력",IF(FALSE,"",IF(INDEX('상품표'!$B$4:$B$18,MATCH(C102,'상품표'!$A$4:$A$18,0))="의류",IF(D102="","사이즈 선택",IF(AND(LEFT(C102,4)="후드집업",OR(D102="XXS",D102="XS")),"후드는 S부터",IF(COUNTA(E102:G102)&gt;0,"세트 옵션은 세트만","OK"))),IF(INDEX('상품표'!$B$4:$B$18,MATCH(C102,'상품표'!$A$4:$A$18,0))="세트",IF(COUNTA(E102:G102)&lt;3,"세트 옵션 선택",IF(D102&lt;&gt;"","사이즈 불필요","OK")),IF(COUNTA(E102:G102)&gt;0,"세트 옵션은 세트만",IF(D102&lt;&gt;"","사이즈 불필요","OK"))))))))</f>
        <v/>
      </c>
      <c r="M102" s="44"/>
      <c r="N102" s="45"/>
    </row>
    <row r="103" ht="15.75" customHeight="1">
      <c r="A103" s="32">
        <v>98.0</v>
      </c>
      <c r="B103" s="33"/>
      <c r="C103" s="33"/>
      <c r="D103" s="33"/>
      <c r="E103" s="33"/>
      <c r="F103" s="33"/>
      <c r="G103" s="33"/>
      <c r="H103" s="33"/>
      <c r="I103" s="20" t="str">
        <f t="array" ref="I103">IF(C103="","",IFERROR(INDEX('상품표'!$C$4:$C$18,MATCH(C103,'상품표'!$A$4:$A$18,0)),""))</f>
        <v/>
      </c>
      <c r="J103" s="20" t="str">
        <f>IF(I103="","",ROUND(I103*(1-'상품표'!$G$4),0))</f>
        <v/>
      </c>
      <c r="K103" s="20" t="str">
        <f t="shared" si="1"/>
        <v/>
      </c>
      <c r="L103" s="32" t="str">
        <f t="array" ref="L103">IF(C103="","",IF(ISNA(MATCH(C103,'상품표'!$A$4:$A$18,0)),"상품명 확인",IF(H103="","수량 입력",IF(FALSE,"",IF(INDEX('상품표'!$B$4:$B$18,MATCH(C103,'상품표'!$A$4:$A$18,0))="의류",IF(D103="","사이즈 선택",IF(AND(LEFT(C103,4)="후드집업",OR(D103="XXS",D103="XS")),"후드는 S부터",IF(COUNTA(E103:G103)&gt;0,"세트 옵션은 세트만","OK"))),IF(INDEX('상품표'!$B$4:$B$18,MATCH(C103,'상품표'!$A$4:$A$18,0))="세트",IF(COUNTA(E103:G103)&lt;3,"세트 옵션 선택",IF(D103&lt;&gt;"","사이즈 불필요","OK")),IF(COUNTA(E103:G103)&gt;0,"세트 옵션은 세트만",IF(D103&lt;&gt;"","사이즈 불필요","OK"))))))))</f>
        <v/>
      </c>
      <c r="M103" s="44"/>
      <c r="N103" s="45"/>
    </row>
    <row r="104" ht="15.75" customHeight="1">
      <c r="A104" s="32">
        <v>99.0</v>
      </c>
      <c r="B104" s="33"/>
      <c r="C104" s="33"/>
      <c r="D104" s="33"/>
      <c r="E104" s="33"/>
      <c r="F104" s="33"/>
      <c r="G104" s="33"/>
      <c r="H104" s="33"/>
      <c r="I104" s="20" t="str">
        <f t="array" ref="I104">IF(C104="","",IFERROR(INDEX('상품표'!$C$4:$C$18,MATCH(C104,'상품표'!$A$4:$A$18,0)),""))</f>
        <v/>
      </c>
      <c r="J104" s="20" t="str">
        <f>IF(I104="","",ROUND(I104*(1-'상품표'!$G$4),0))</f>
        <v/>
      </c>
      <c r="K104" s="20" t="str">
        <f t="shared" si="1"/>
        <v/>
      </c>
      <c r="L104" s="32" t="str">
        <f t="array" ref="L104">IF(C104="","",IF(ISNA(MATCH(C104,'상품표'!$A$4:$A$18,0)),"상품명 확인",IF(H104="","수량 입력",IF(FALSE,"",IF(INDEX('상품표'!$B$4:$B$18,MATCH(C104,'상품표'!$A$4:$A$18,0))="의류",IF(D104="","사이즈 선택",IF(AND(LEFT(C104,4)="후드집업",OR(D104="XXS",D104="XS")),"후드는 S부터",IF(COUNTA(E104:G104)&gt;0,"세트 옵션은 세트만","OK"))),IF(INDEX('상품표'!$B$4:$B$18,MATCH(C104,'상품표'!$A$4:$A$18,0))="세트",IF(COUNTA(E104:G104)&lt;3,"세트 옵션 선택",IF(D104&lt;&gt;"","사이즈 불필요","OK")),IF(COUNTA(E104:G104)&gt;0,"세트 옵션은 세트만",IF(D104&lt;&gt;"","사이즈 불필요","OK"))))))))</f>
        <v/>
      </c>
      <c r="M104" s="44"/>
      <c r="N104" s="45"/>
    </row>
    <row r="105" ht="15.75" customHeight="1">
      <c r="A105" s="32">
        <v>100.0</v>
      </c>
      <c r="B105" s="33"/>
      <c r="C105" s="33"/>
      <c r="D105" s="33"/>
      <c r="E105" s="33"/>
      <c r="F105" s="33"/>
      <c r="G105" s="33"/>
      <c r="H105" s="33"/>
      <c r="I105" s="20" t="str">
        <f t="array" ref="I105">IF(C105="","",IFERROR(INDEX('상품표'!$C$4:$C$18,MATCH(C105,'상품표'!$A$4:$A$18,0)),""))</f>
        <v/>
      </c>
      <c r="J105" s="20" t="str">
        <f>IF(I105="","",ROUND(I105*(1-'상품표'!$G$4),0))</f>
        <v/>
      </c>
      <c r="K105" s="20" t="str">
        <f t="shared" si="1"/>
        <v/>
      </c>
      <c r="L105" s="32" t="str">
        <f t="array" ref="L105">IF(C105="","",IF(ISNA(MATCH(C105,'상품표'!$A$4:$A$18,0)),"상품명 확인",IF(H105="","수량 입력",IF(FALSE,"",IF(INDEX('상품표'!$B$4:$B$18,MATCH(C105,'상품표'!$A$4:$A$18,0))="의류",IF(D105="","사이즈 선택",IF(AND(LEFT(C105,4)="후드집업",OR(D105="XXS",D105="XS")),"후드는 S부터",IF(COUNTA(E105:G105)&gt;0,"세트 옵션은 세트만","OK"))),IF(INDEX('상품표'!$B$4:$B$18,MATCH(C105,'상품표'!$A$4:$A$18,0))="세트",IF(COUNTA(E105:G105)&lt;3,"세트 옵션 선택",IF(D105&lt;&gt;"","사이즈 불필요","OK")),IF(COUNTA(E105:G105)&gt;0,"세트 옵션은 세트만",IF(D105&lt;&gt;"","사이즈 불필요","OK"))))))))</f>
        <v/>
      </c>
      <c r="M105" s="44"/>
      <c r="N105" s="45"/>
    </row>
    <row r="106" ht="15.75" customHeight="1">
      <c r="A106" s="32">
        <v>101.0</v>
      </c>
      <c r="B106" s="33"/>
      <c r="C106" s="33"/>
      <c r="D106" s="33"/>
      <c r="E106" s="33"/>
      <c r="F106" s="33"/>
      <c r="G106" s="33"/>
      <c r="H106" s="33"/>
      <c r="I106" s="20" t="str">
        <f t="array" ref="I106">IF(C106="","",IFERROR(INDEX('상품표'!$C$4:$C$18,MATCH(C106,'상품표'!$A$4:$A$18,0)),""))</f>
        <v/>
      </c>
      <c r="J106" s="20" t="str">
        <f>IF(I106="","",ROUND(I106*(1-'상품표'!$G$4),0))</f>
        <v/>
      </c>
      <c r="K106" s="20" t="str">
        <f t="shared" si="1"/>
        <v/>
      </c>
      <c r="L106" s="32" t="str">
        <f t="array" ref="L106">IF(C106="","",IF(ISNA(MATCH(C106,'상품표'!$A$4:$A$18,0)),"상품명 확인",IF(H106="","수량 입력",IF(FALSE,"",IF(INDEX('상품표'!$B$4:$B$18,MATCH(C106,'상품표'!$A$4:$A$18,0))="의류",IF(D106="","사이즈 선택",IF(AND(LEFT(C106,4)="후드집업",OR(D106="XXS",D106="XS")),"후드는 S부터",IF(COUNTA(E106:G106)&gt;0,"세트 옵션은 세트만","OK"))),IF(INDEX('상품표'!$B$4:$B$18,MATCH(C106,'상품표'!$A$4:$A$18,0))="세트",IF(COUNTA(E106:G106)&lt;3,"세트 옵션 선택",IF(D106&lt;&gt;"","사이즈 불필요","OK")),IF(COUNTA(E106:G106)&gt;0,"세트 옵션은 세트만",IF(D106&lt;&gt;"","사이즈 불필요","OK"))))))))</f>
        <v/>
      </c>
      <c r="M106" s="44"/>
      <c r="N106" s="45"/>
    </row>
    <row r="107" ht="15.75" customHeight="1">
      <c r="A107" s="32">
        <v>102.0</v>
      </c>
      <c r="B107" s="33"/>
      <c r="C107" s="33"/>
      <c r="D107" s="33"/>
      <c r="E107" s="33"/>
      <c r="F107" s="33"/>
      <c r="G107" s="33"/>
      <c r="H107" s="33"/>
      <c r="I107" s="20" t="str">
        <f t="array" ref="I107">IF(C107="","",IFERROR(INDEX('상품표'!$C$4:$C$18,MATCH(C107,'상품표'!$A$4:$A$18,0)),""))</f>
        <v/>
      </c>
      <c r="J107" s="20" t="str">
        <f>IF(I107="","",ROUND(I107*(1-'상품표'!$G$4),0))</f>
        <v/>
      </c>
      <c r="K107" s="20" t="str">
        <f t="shared" si="1"/>
        <v/>
      </c>
      <c r="L107" s="32" t="str">
        <f t="array" ref="L107">IF(C107="","",IF(ISNA(MATCH(C107,'상품표'!$A$4:$A$18,0)),"상품명 확인",IF(H107="","수량 입력",IF(FALSE,"",IF(INDEX('상품표'!$B$4:$B$18,MATCH(C107,'상품표'!$A$4:$A$18,0))="의류",IF(D107="","사이즈 선택",IF(AND(LEFT(C107,4)="후드집업",OR(D107="XXS",D107="XS")),"후드는 S부터",IF(COUNTA(E107:G107)&gt;0,"세트 옵션은 세트만","OK"))),IF(INDEX('상품표'!$B$4:$B$18,MATCH(C107,'상품표'!$A$4:$A$18,0))="세트",IF(COUNTA(E107:G107)&lt;3,"세트 옵션 선택",IF(D107&lt;&gt;"","사이즈 불필요","OK")),IF(COUNTA(E107:G107)&gt;0,"세트 옵션은 세트만",IF(D107&lt;&gt;"","사이즈 불필요","OK"))))))))</f>
        <v/>
      </c>
      <c r="M107" s="44"/>
      <c r="N107" s="45"/>
    </row>
    <row r="108" ht="15.75" customHeight="1">
      <c r="A108" s="32">
        <v>103.0</v>
      </c>
      <c r="B108" s="33"/>
      <c r="C108" s="33"/>
      <c r="D108" s="33"/>
      <c r="E108" s="33"/>
      <c r="F108" s="33"/>
      <c r="G108" s="33"/>
      <c r="H108" s="33"/>
      <c r="I108" s="20" t="str">
        <f t="array" ref="I108">IF(C108="","",IFERROR(INDEX('상품표'!$C$4:$C$18,MATCH(C108,'상품표'!$A$4:$A$18,0)),""))</f>
        <v/>
      </c>
      <c r="J108" s="20" t="str">
        <f>IF(I108="","",ROUND(I108*(1-'상품표'!$G$4),0))</f>
        <v/>
      </c>
      <c r="K108" s="20" t="str">
        <f t="shared" si="1"/>
        <v/>
      </c>
      <c r="L108" s="32" t="str">
        <f t="array" ref="L108">IF(C108="","",IF(ISNA(MATCH(C108,'상품표'!$A$4:$A$18,0)),"상품명 확인",IF(H108="","수량 입력",IF(FALSE,"",IF(INDEX('상품표'!$B$4:$B$18,MATCH(C108,'상품표'!$A$4:$A$18,0))="의류",IF(D108="","사이즈 선택",IF(AND(LEFT(C108,4)="후드집업",OR(D108="XXS",D108="XS")),"후드는 S부터",IF(COUNTA(E108:G108)&gt;0,"세트 옵션은 세트만","OK"))),IF(INDEX('상품표'!$B$4:$B$18,MATCH(C108,'상품표'!$A$4:$A$18,0))="세트",IF(COUNTA(E108:G108)&lt;3,"세트 옵션 선택",IF(D108&lt;&gt;"","사이즈 불필요","OK")),IF(COUNTA(E108:G108)&gt;0,"세트 옵션은 세트만",IF(D108&lt;&gt;"","사이즈 불필요","OK"))))))))</f>
        <v/>
      </c>
      <c r="M108" s="44"/>
      <c r="N108" s="45"/>
    </row>
    <row r="109" ht="15.75" customHeight="1">
      <c r="A109" s="32">
        <v>104.0</v>
      </c>
      <c r="B109" s="33"/>
      <c r="C109" s="33"/>
      <c r="D109" s="33"/>
      <c r="E109" s="33"/>
      <c r="F109" s="33"/>
      <c r="G109" s="33"/>
      <c r="H109" s="33"/>
      <c r="I109" s="20" t="str">
        <f t="array" ref="I109">IF(C109="","",IFERROR(INDEX('상품표'!$C$4:$C$18,MATCH(C109,'상품표'!$A$4:$A$18,0)),""))</f>
        <v/>
      </c>
      <c r="J109" s="20" t="str">
        <f>IF(I109="","",ROUND(I109*(1-'상품표'!$G$4),0))</f>
        <v/>
      </c>
      <c r="K109" s="20" t="str">
        <f t="shared" si="1"/>
        <v/>
      </c>
      <c r="L109" s="32" t="str">
        <f t="array" ref="L109">IF(C109="","",IF(ISNA(MATCH(C109,'상품표'!$A$4:$A$18,0)),"상품명 확인",IF(H109="","수량 입력",IF(FALSE,"",IF(INDEX('상품표'!$B$4:$B$18,MATCH(C109,'상품표'!$A$4:$A$18,0))="의류",IF(D109="","사이즈 선택",IF(AND(LEFT(C109,4)="후드집업",OR(D109="XXS",D109="XS")),"후드는 S부터",IF(COUNTA(E109:G109)&gt;0,"세트 옵션은 세트만","OK"))),IF(INDEX('상품표'!$B$4:$B$18,MATCH(C109,'상품표'!$A$4:$A$18,0))="세트",IF(COUNTA(E109:G109)&lt;3,"세트 옵션 선택",IF(D109&lt;&gt;"","사이즈 불필요","OK")),IF(COUNTA(E109:G109)&gt;0,"세트 옵션은 세트만",IF(D109&lt;&gt;"","사이즈 불필요","OK"))))))))</f>
        <v/>
      </c>
      <c r="M109" s="44"/>
      <c r="N109" s="45"/>
    </row>
    <row r="110" ht="15.75" customHeight="1">
      <c r="A110" s="32">
        <v>105.0</v>
      </c>
      <c r="B110" s="33"/>
      <c r="C110" s="33"/>
      <c r="D110" s="33"/>
      <c r="E110" s="33"/>
      <c r="F110" s="33"/>
      <c r="G110" s="33"/>
      <c r="H110" s="33"/>
      <c r="I110" s="20" t="str">
        <f t="array" ref="I110">IF(C110="","",IFERROR(INDEX('상품표'!$C$4:$C$18,MATCH(C110,'상품표'!$A$4:$A$18,0)),""))</f>
        <v/>
      </c>
      <c r="J110" s="20" t="str">
        <f>IF(I110="","",ROUND(I110*(1-'상품표'!$G$4),0))</f>
        <v/>
      </c>
      <c r="K110" s="20" t="str">
        <f t="shared" si="1"/>
        <v/>
      </c>
      <c r="L110" s="32" t="str">
        <f t="array" ref="L110">IF(C110="","",IF(ISNA(MATCH(C110,'상품표'!$A$4:$A$18,0)),"상품명 확인",IF(H110="","수량 입력",IF(FALSE,"",IF(INDEX('상품표'!$B$4:$B$18,MATCH(C110,'상품표'!$A$4:$A$18,0))="의류",IF(D110="","사이즈 선택",IF(AND(LEFT(C110,4)="후드집업",OR(D110="XXS",D110="XS")),"후드는 S부터",IF(COUNTA(E110:G110)&gt;0,"세트 옵션은 세트만","OK"))),IF(INDEX('상품표'!$B$4:$B$18,MATCH(C110,'상품표'!$A$4:$A$18,0))="세트",IF(COUNTA(E110:G110)&lt;3,"세트 옵션 선택",IF(D110&lt;&gt;"","사이즈 불필요","OK")),IF(COUNTA(E110:G110)&gt;0,"세트 옵션은 세트만",IF(D110&lt;&gt;"","사이즈 불필요","OK"))))))))</f>
        <v/>
      </c>
      <c r="M110" s="44"/>
      <c r="N110" s="45"/>
    </row>
    <row r="111" ht="15.75" customHeight="1">
      <c r="A111" s="32">
        <v>106.0</v>
      </c>
      <c r="B111" s="33"/>
      <c r="C111" s="33"/>
      <c r="D111" s="33"/>
      <c r="E111" s="33"/>
      <c r="F111" s="33"/>
      <c r="G111" s="33"/>
      <c r="H111" s="33"/>
      <c r="I111" s="20" t="str">
        <f t="array" ref="I111">IF(C111="","",IFERROR(INDEX('상품표'!$C$4:$C$18,MATCH(C111,'상품표'!$A$4:$A$18,0)),""))</f>
        <v/>
      </c>
      <c r="J111" s="20" t="str">
        <f>IF(I111="","",ROUND(I111*(1-'상품표'!$G$4),0))</f>
        <v/>
      </c>
      <c r="K111" s="20" t="str">
        <f t="shared" si="1"/>
        <v/>
      </c>
      <c r="L111" s="32" t="str">
        <f t="array" ref="L111">IF(C111="","",IF(ISNA(MATCH(C111,'상품표'!$A$4:$A$18,0)),"상품명 확인",IF(H111="","수량 입력",IF(FALSE,"",IF(INDEX('상품표'!$B$4:$B$18,MATCH(C111,'상품표'!$A$4:$A$18,0))="의류",IF(D111="","사이즈 선택",IF(AND(LEFT(C111,4)="후드집업",OR(D111="XXS",D111="XS")),"후드는 S부터",IF(COUNTA(E111:G111)&gt;0,"세트 옵션은 세트만","OK"))),IF(INDEX('상품표'!$B$4:$B$18,MATCH(C111,'상품표'!$A$4:$A$18,0))="세트",IF(COUNTA(E111:G111)&lt;3,"세트 옵션 선택",IF(D111&lt;&gt;"","사이즈 불필요","OK")),IF(COUNTA(E111:G111)&gt;0,"세트 옵션은 세트만",IF(D111&lt;&gt;"","사이즈 불필요","OK"))))))))</f>
        <v/>
      </c>
      <c r="M111" s="44"/>
      <c r="N111" s="45"/>
    </row>
    <row r="112" ht="15.75" customHeight="1">
      <c r="A112" s="32">
        <v>107.0</v>
      </c>
      <c r="B112" s="33"/>
      <c r="C112" s="33"/>
      <c r="D112" s="33"/>
      <c r="E112" s="33"/>
      <c r="F112" s="33"/>
      <c r="G112" s="33"/>
      <c r="H112" s="33"/>
      <c r="I112" s="20" t="str">
        <f t="array" ref="I112">IF(C112="","",IFERROR(INDEX('상품표'!$C$4:$C$18,MATCH(C112,'상품표'!$A$4:$A$18,0)),""))</f>
        <v/>
      </c>
      <c r="J112" s="20" t="str">
        <f>IF(I112="","",ROUND(I112*(1-'상품표'!$G$4),0))</f>
        <v/>
      </c>
      <c r="K112" s="20" t="str">
        <f t="shared" si="1"/>
        <v/>
      </c>
      <c r="L112" s="32" t="str">
        <f t="array" ref="L112">IF(C112="","",IF(ISNA(MATCH(C112,'상품표'!$A$4:$A$18,0)),"상품명 확인",IF(H112="","수량 입력",IF(FALSE,"",IF(INDEX('상품표'!$B$4:$B$18,MATCH(C112,'상품표'!$A$4:$A$18,0))="의류",IF(D112="","사이즈 선택",IF(AND(LEFT(C112,4)="후드집업",OR(D112="XXS",D112="XS")),"후드는 S부터",IF(COUNTA(E112:G112)&gt;0,"세트 옵션은 세트만","OK"))),IF(INDEX('상품표'!$B$4:$B$18,MATCH(C112,'상품표'!$A$4:$A$18,0))="세트",IF(COUNTA(E112:G112)&lt;3,"세트 옵션 선택",IF(D112&lt;&gt;"","사이즈 불필요","OK")),IF(COUNTA(E112:G112)&gt;0,"세트 옵션은 세트만",IF(D112&lt;&gt;"","사이즈 불필요","OK"))))))))</f>
        <v/>
      </c>
      <c r="M112" s="44"/>
      <c r="N112" s="45"/>
    </row>
    <row r="113" ht="15.75" customHeight="1">
      <c r="A113" s="32">
        <v>108.0</v>
      </c>
      <c r="B113" s="33"/>
      <c r="C113" s="33"/>
      <c r="D113" s="33"/>
      <c r="E113" s="33"/>
      <c r="F113" s="33"/>
      <c r="G113" s="33"/>
      <c r="H113" s="33"/>
      <c r="I113" s="20" t="str">
        <f t="array" ref="I113">IF(C113="","",IFERROR(INDEX('상품표'!$C$4:$C$18,MATCH(C113,'상품표'!$A$4:$A$18,0)),""))</f>
        <v/>
      </c>
      <c r="J113" s="20" t="str">
        <f>IF(I113="","",ROUND(I113*(1-'상품표'!$G$4),0))</f>
        <v/>
      </c>
      <c r="K113" s="20" t="str">
        <f t="shared" si="1"/>
        <v/>
      </c>
      <c r="L113" s="32" t="str">
        <f t="array" ref="L113">IF(C113="","",IF(ISNA(MATCH(C113,'상품표'!$A$4:$A$18,0)),"상품명 확인",IF(H113="","수량 입력",IF(FALSE,"",IF(INDEX('상품표'!$B$4:$B$18,MATCH(C113,'상품표'!$A$4:$A$18,0))="의류",IF(D113="","사이즈 선택",IF(AND(LEFT(C113,4)="후드집업",OR(D113="XXS",D113="XS")),"후드는 S부터",IF(COUNTA(E113:G113)&gt;0,"세트 옵션은 세트만","OK"))),IF(INDEX('상품표'!$B$4:$B$18,MATCH(C113,'상품표'!$A$4:$A$18,0))="세트",IF(COUNTA(E113:G113)&lt;3,"세트 옵션 선택",IF(D113&lt;&gt;"","사이즈 불필요","OK")),IF(COUNTA(E113:G113)&gt;0,"세트 옵션은 세트만",IF(D113&lt;&gt;"","사이즈 불필요","OK"))))))))</f>
        <v/>
      </c>
      <c r="M113" s="44"/>
      <c r="N113" s="45"/>
    </row>
    <row r="114" ht="15.75" customHeight="1">
      <c r="A114" s="32">
        <v>109.0</v>
      </c>
      <c r="B114" s="33"/>
      <c r="C114" s="33"/>
      <c r="D114" s="33"/>
      <c r="E114" s="33"/>
      <c r="F114" s="33"/>
      <c r="G114" s="33"/>
      <c r="H114" s="33"/>
      <c r="I114" s="20" t="str">
        <f t="array" ref="I114">IF(C114="","",IFERROR(INDEX('상품표'!$C$4:$C$18,MATCH(C114,'상품표'!$A$4:$A$18,0)),""))</f>
        <v/>
      </c>
      <c r="J114" s="20" t="str">
        <f>IF(I114="","",ROUND(I114*(1-'상품표'!$G$4),0))</f>
        <v/>
      </c>
      <c r="K114" s="20" t="str">
        <f t="shared" si="1"/>
        <v/>
      </c>
      <c r="L114" s="32" t="str">
        <f t="array" ref="L114">IF(C114="","",IF(ISNA(MATCH(C114,'상품표'!$A$4:$A$18,0)),"상품명 확인",IF(H114="","수량 입력",IF(FALSE,"",IF(INDEX('상품표'!$B$4:$B$18,MATCH(C114,'상품표'!$A$4:$A$18,0))="의류",IF(D114="","사이즈 선택",IF(AND(LEFT(C114,4)="후드집업",OR(D114="XXS",D114="XS")),"후드는 S부터",IF(COUNTA(E114:G114)&gt;0,"세트 옵션은 세트만","OK"))),IF(INDEX('상품표'!$B$4:$B$18,MATCH(C114,'상품표'!$A$4:$A$18,0))="세트",IF(COUNTA(E114:G114)&lt;3,"세트 옵션 선택",IF(D114&lt;&gt;"","사이즈 불필요","OK")),IF(COUNTA(E114:G114)&gt;0,"세트 옵션은 세트만",IF(D114&lt;&gt;"","사이즈 불필요","OK"))))))))</f>
        <v/>
      </c>
      <c r="M114" s="44"/>
      <c r="N114" s="45"/>
    </row>
    <row r="115" ht="15.75" customHeight="1">
      <c r="A115" s="32">
        <v>110.0</v>
      </c>
      <c r="B115" s="33"/>
      <c r="C115" s="33"/>
      <c r="D115" s="33"/>
      <c r="E115" s="33"/>
      <c r="F115" s="33"/>
      <c r="G115" s="33"/>
      <c r="H115" s="33"/>
      <c r="I115" s="20" t="str">
        <f t="array" ref="I115">IF(C115="","",IFERROR(INDEX('상품표'!$C$4:$C$18,MATCH(C115,'상품표'!$A$4:$A$18,0)),""))</f>
        <v/>
      </c>
      <c r="J115" s="20" t="str">
        <f>IF(I115="","",ROUND(I115*(1-'상품표'!$G$4),0))</f>
        <v/>
      </c>
      <c r="K115" s="20" t="str">
        <f t="shared" si="1"/>
        <v/>
      </c>
      <c r="L115" s="32" t="str">
        <f t="array" ref="L115">IF(C115="","",IF(ISNA(MATCH(C115,'상품표'!$A$4:$A$18,0)),"상품명 확인",IF(H115="","수량 입력",IF(FALSE,"",IF(INDEX('상품표'!$B$4:$B$18,MATCH(C115,'상품표'!$A$4:$A$18,0))="의류",IF(D115="","사이즈 선택",IF(AND(LEFT(C115,4)="후드집업",OR(D115="XXS",D115="XS")),"후드는 S부터",IF(COUNTA(E115:G115)&gt;0,"세트 옵션은 세트만","OK"))),IF(INDEX('상품표'!$B$4:$B$18,MATCH(C115,'상품표'!$A$4:$A$18,0))="세트",IF(COUNTA(E115:G115)&lt;3,"세트 옵션 선택",IF(D115&lt;&gt;"","사이즈 불필요","OK")),IF(COUNTA(E115:G115)&gt;0,"세트 옵션은 세트만",IF(D115&lt;&gt;"","사이즈 불필요","OK"))))))))</f>
        <v/>
      </c>
      <c r="M115" s="44"/>
      <c r="N115" s="45"/>
    </row>
    <row r="116" ht="15.75" customHeight="1">
      <c r="A116" s="32">
        <v>111.0</v>
      </c>
      <c r="B116" s="33"/>
      <c r="C116" s="33"/>
      <c r="D116" s="33"/>
      <c r="E116" s="33"/>
      <c r="F116" s="33"/>
      <c r="G116" s="33"/>
      <c r="H116" s="33"/>
      <c r="I116" s="20" t="str">
        <f t="array" ref="I116">IF(C116="","",IFERROR(INDEX('상품표'!$C$4:$C$18,MATCH(C116,'상품표'!$A$4:$A$18,0)),""))</f>
        <v/>
      </c>
      <c r="J116" s="20" t="str">
        <f>IF(I116="","",ROUND(I116*(1-'상품표'!$G$4),0))</f>
        <v/>
      </c>
      <c r="K116" s="20" t="str">
        <f t="shared" si="1"/>
        <v/>
      </c>
      <c r="L116" s="32" t="str">
        <f t="array" ref="L116">IF(C116="","",IF(ISNA(MATCH(C116,'상품표'!$A$4:$A$18,0)),"상품명 확인",IF(H116="","수량 입력",IF(FALSE,"",IF(INDEX('상품표'!$B$4:$B$18,MATCH(C116,'상품표'!$A$4:$A$18,0))="의류",IF(D116="","사이즈 선택",IF(AND(LEFT(C116,4)="후드집업",OR(D116="XXS",D116="XS")),"후드는 S부터",IF(COUNTA(E116:G116)&gt;0,"세트 옵션은 세트만","OK"))),IF(INDEX('상품표'!$B$4:$B$18,MATCH(C116,'상품표'!$A$4:$A$18,0))="세트",IF(COUNTA(E116:G116)&lt;3,"세트 옵션 선택",IF(D116&lt;&gt;"","사이즈 불필요","OK")),IF(COUNTA(E116:G116)&gt;0,"세트 옵션은 세트만",IF(D116&lt;&gt;"","사이즈 불필요","OK"))))))))</f>
        <v/>
      </c>
      <c r="M116" s="44"/>
      <c r="N116" s="45"/>
    </row>
    <row r="117" ht="15.75" customHeight="1">
      <c r="A117" s="32">
        <v>112.0</v>
      </c>
      <c r="B117" s="33"/>
      <c r="C117" s="33"/>
      <c r="D117" s="33"/>
      <c r="E117" s="33"/>
      <c r="F117" s="33"/>
      <c r="G117" s="33"/>
      <c r="H117" s="33"/>
      <c r="I117" s="20" t="str">
        <f t="array" ref="I117">IF(C117="","",IFERROR(INDEX('상품표'!$C$4:$C$18,MATCH(C117,'상품표'!$A$4:$A$18,0)),""))</f>
        <v/>
      </c>
      <c r="J117" s="20" t="str">
        <f>IF(I117="","",ROUND(I117*(1-'상품표'!$G$4),0))</f>
        <v/>
      </c>
      <c r="K117" s="20" t="str">
        <f t="shared" si="1"/>
        <v/>
      </c>
      <c r="L117" s="32" t="str">
        <f t="array" ref="L117">IF(C117="","",IF(ISNA(MATCH(C117,'상품표'!$A$4:$A$18,0)),"상품명 확인",IF(H117="","수량 입력",IF(FALSE,"",IF(INDEX('상품표'!$B$4:$B$18,MATCH(C117,'상품표'!$A$4:$A$18,0))="의류",IF(D117="","사이즈 선택",IF(AND(LEFT(C117,4)="후드집업",OR(D117="XXS",D117="XS")),"후드는 S부터",IF(COUNTA(E117:G117)&gt;0,"세트 옵션은 세트만","OK"))),IF(INDEX('상품표'!$B$4:$B$18,MATCH(C117,'상품표'!$A$4:$A$18,0))="세트",IF(COUNTA(E117:G117)&lt;3,"세트 옵션 선택",IF(D117&lt;&gt;"","사이즈 불필요","OK")),IF(COUNTA(E117:G117)&gt;0,"세트 옵션은 세트만",IF(D117&lt;&gt;"","사이즈 불필요","OK"))))))))</f>
        <v/>
      </c>
      <c r="M117" s="44"/>
      <c r="N117" s="45"/>
    </row>
    <row r="118" ht="15.75" customHeight="1">
      <c r="A118" s="32">
        <v>113.0</v>
      </c>
      <c r="B118" s="33"/>
      <c r="C118" s="33"/>
      <c r="D118" s="33"/>
      <c r="E118" s="33"/>
      <c r="F118" s="33"/>
      <c r="G118" s="33"/>
      <c r="H118" s="33"/>
      <c r="I118" s="20" t="str">
        <f t="array" ref="I118">IF(C118="","",IFERROR(INDEX('상품표'!$C$4:$C$18,MATCH(C118,'상품표'!$A$4:$A$18,0)),""))</f>
        <v/>
      </c>
      <c r="J118" s="20" t="str">
        <f>IF(I118="","",ROUND(I118*(1-'상품표'!$G$4),0))</f>
        <v/>
      </c>
      <c r="K118" s="20" t="str">
        <f t="shared" si="1"/>
        <v/>
      </c>
      <c r="L118" s="32" t="str">
        <f t="array" ref="L118">IF(C118="","",IF(ISNA(MATCH(C118,'상품표'!$A$4:$A$18,0)),"상품명 확인",IF(H118="","수량 입력",IF(FALSE,"",IF(INDEX('상품표'!$B$4:$B$18,MATCH(C118,'상품표'!$A$4:$A$18,0))="의류",IF(D118="","사이즈 선택",IF(AND(LEFT(C118,4)="후드집업",OR(D118="XXS",D118="XS")),"후드는 S부터",IF(COUNTA(E118:G118)&gt;0,"세트 옵션은 세트만","OK"))),IF(INDEX('상품표'!$B$4:$B$18,MATCH(C118,'상품표'!$A$4:$A$18,0))="세트",IF(COUNTA(E118:G118)&lt;3,"세트 옵션 선택",IF(D118&lt;&gt;"","사이즈 불필요","OK")),IF(COUNTA(E118:G118)&gt;0,"세트 옵션은 세트만",IF(D118&lt;&gt;"","사이즈 불필요","OK"))))))))</f>
        <v/>
      </c>
      <c r="M118" s="44"/>
      <c r="N118" s="45"/>
    </row>
    <row r="119" ht="15.75" customHeight="1">
      <c r="A119" s="32">
        <v>114.0</v>
      </c>
      <c r="B119" s="33"/>
      <c r="C119" s="33"/>
      <c r="D119" s="33"/>
      <c r="E119" s="33"/>
      <c r="F119" s="33"/>
      <c r="G119" s="33"/>
      <c r="H119" s="33"/>
      <c r="I119" s="20" t="str">
        <f t="array" ref="I119">IF(C119="","",IFERROR(INDEX('상품표'!$C$4:$C$18,MATCH(C119,'상품표'!$A$4:$A$18,0)),""))</f>
        <v/>
      </c>
      <c r="J119" s="20" t="str">
        <f>IF(I119="","",ROUND(I119*(1-'상품표'!$G$4),0))</f>
        <v/>
      </c>
      <c r="K119" s="20" t="str">
        <f t="shared" si="1"/>
        <v/>
      </c>
      <c r="L119" s="32" t="str">
        <f t="array" ref="L119">IF(C119="","",IF(ISNA(MATCH(C119,'상품표'!$A$4:$A$18,0)),"상품명 확인",IF(H119="","수량 입력",IF(FALSE,"",IF(INDEX('상품표'!$B$4:$B$18,MATCH(C119,'상품표'!$A$4:$A$18,0))="의류",IF(D119="","사이즈 선택",IF(AND(LEFT(C119,4)="후드집업",OR(D119="XXS",D119="XS")),"후드는 S부터",IF(COUNTA(E119:G119)&gt;0,"세트 옵션은 세트만","OK"))),IF(INDEX('상품표'!$B$4:$B$18,MATCH(C119,'상품표'!$A$4:$A$18,0))="세트",IF(COUNTA(E119:G119)&lt;3,"세트 옵션 선택",IF(D119&lt;&gt;"","사이즈 불필요","OK")),IF(COUNTA(E119:G119)&gt;0,"세트 옵션은 세트만",IF(D119&lt;&gt;"","사이즈 불필요","OK"))))))))</f>
        <v/>
      </c>
      <c r="M119" s="44"/>
      <c r="N119" s="45"/>
    </row>
    <row r="120" ht="15.75" customHeight="1">
      <c r="A120" s="32">
        <v>115.0</v>
      </c>
      <c r="B120" s="33"/>
      <c r="C120" s="33"/>
      <c r="D120" s="33"/>
      <c r="E120" s="33"/>
      <c r="F120" s="33"/>
      <c r="G120" s="33"/>
      <c r="H120" s="33"/>
      <c r="I120" s="20" t="str">
        <f t="array" ref="I120">IF(C120="","",IFERROR(INDEX('상품표'!$C$4:$C$18,MATCH(C120,'상품표'!$A$4:$A$18,0)),""))</f>
        <v/>
      </c>
      <c r="J120" s="20" t="str">
        <f>IF(I120="","",ROUND(I120*(1-'상품표'!$G$4),0))</f>
        <v/>
      </c>
      <c r="K120" s="20" t="str">
        <f t="shared" si="1"/>
        <v/>
      </c>
      <c r="L120" s="32" t="str">
        <f t="array" ref="L120">IF(C120="","",IF(ISNA(MATCH(C120,'상품표'!$A$4:$A$18,0)),"상품명 확인",IF(H120="","수량 입력",IF(FALSE,"",IF(INDEX('상품표'!$B$4:$B$18,MATCH(C120,'상품표'!$A$4:$A$18,0))="의류",IF(D120="","사이즈 선택",IF(AND(LEFT(C120,4)="후드집업",OR(D120="XXS",D120="XS")),"후드는 S부터",IF(COUNTA(E120:G120)&gt;0,"세트 옵션은 세트만","OK"))),IF(INDEX('상품표'!$B$4:$B$18,MATCH(C120,'상품표'!$A$4:$A$18,0))="세트",IF(COUNTA(E120:G120)&lt;3,"세트 옵션 선택",IF(D120&lt;&gt;"","사이즈 불필요","OK")),IF(COUNTA(E120:G120)&gt;0,"세트 옵션은 세트만",IF(D120&lt;&gt;"","사이즈 불필요","OK"))))))))</f>
        <v/>
      </c>
      <c r="M120" s="44"/>
      <c r="N120" s="45"/>
    </row>
    <row r="121" ht="15.75" customHeight="1">
      <c r="A121" s="32">
        <v>116.0</v>
      </c>
      <c r="B121" s="33"/>
      <c r="C121" s="33"/>
      <c r="D121" s="33"/>
      <c r="E121" s="33"/>
      <c r="F121" s="33"/>
      <c r="G121" s="33"/>
      <c r="H121" s="33"/>
      <c r="I121" s="20" t="str">
        <f t="array" ref="I121">IF(C121="","",IFERROR(INDEX('상품표'!$C$4:$C$18,MATCH(C121,'상품표'!$A$4:$A$18,0)),""))</f>
        <v/>
      </c>
      <c r="J121" s="20" t="str">
        <f>IF(I121="","",ROUND(I121*(1-'상품표'!$G$4),0))</f>
        <v/>
      </c>
      <c r="K121" s="20" t="str">
        <f t="shared" si="1"/>
        <v/>
      </c>
      <c r="L121" s="32" t="str">
        <f t="array" ref="L121">IF(C121="","",IF(ISNA(MATCH(C121,'상품표'!$A$4:$A$18,0)),"상품명 확인",IF(H121="","수량 입력",IF(FALSE,"",IF(INDEX('상품표'!$B$4:$B$18,MATCH(C121,'상품표'!$A$4:$A$18,0))="의류",IF(D121="","사이즈 선택",IF(AND(LEFT(C121,4)="후드집업",OR(D121="XXS",D121="XS")),"후드는 S부터",IF(COUNTA(E121:G121)&gt;0,"세트 옵션은 세트만","OK"))),IF(INDEX('상품표'!$B$4:$B$18,MATCH(C121,'상품표'!$A$4:$A$18,0))="세트",IF(COUNTA(E121:G121)&lt;3,"세트 옵션 선택",IF(D121&lt;&gt;"","사이즈 불필요","OK")),IF(COUNTA(E121:G121)&gt;0,"세트 옵션은 세트만",IF(D121&lt;&gt;"","사이즈 불필요","OK"))))))))</f>
        <v/>
      </c>
      <c r="M121" s="44"/>
      <c r="N121" s="45"/>
    </row>
    <row r="122" ht="15.75" customHeight="1">
      <c r="A122" s="32">
        <v>117.0</v>
      </c>
      <c r="B122" s="33"/>
      <c r="C122" s="33"/>
      <c r="D122" s="33"/>
      <c r="E122" s="33"/>
      <c r="F122" s="33"/>
      <c r="G122" s="33"/>
      <c r="H122" s="33"/>
      <c r="I122" s="20" t="str">
        <f t="array" ref="I122">IF(C122="","",IFERROR(INDEX('상품표'!$C$4:$C$18,MATCH(C122,'상품표'!$A$4:$A$18,0)),""))</f>
        <v/>
      </c>
      <c r="J122" s="20" t="str">
        <f>IF(I122="","",ROUND(I122*(1-'상품표'!$G$4),0))</f>
        <v/>
      </c>
      <c r="K122" s="20" t="str">
        <f t="shared" si="1"/>
        <v/>
      </c>
      <c r="L122" s="32" t="str">
        <f t="array" ref="L122">IF(C122="","",IF(ISNA(MATCH(C122,'상품표'!$A$4:$A$18,0)),"상품명 확인",IF(H122="","수량 입력",IF(FALSE,"",IF(INDEX('상품표'!$B$4:$B$18,MATCH(C122,'상품표'!$A$4:$A$18,0))="의류",IF(D122="","사이즈 선택",IF(AND(LEFT(C122,4)="후드집업",OR(D122="XXS",D122="XS")),"후드는 S부터",IF(COUNTA(E122:G122)&gt;0,"세트 옵션은 세트만","OK"))),IF(INDEX('상품표'!$B$4:$B$18,MATCH(C122,'상품표'!$A$4:$A$18,0))="세트",IF(COUNTA(E122:G122)&lt;3,"세트 옵션 선택",IF(D122&lt;&gt;"","사이즈 불필요","OK")),IF(COUNTA(E122:G122)&gt;0,"세트 옵션은 세트만",IF(D122&lt;&gt;"","사이즈 불필요","OK"))))))))</f>
        <v/>
      </c>
      <c r="M122" s="44"/>
      <c r="N122" s="45"/>
    </row>
    <row r="123" ht="15.75" customHeight="1">
      <c r="A123" s="32">
        <v>118.0</v>
      </c>
      <c r="B123" s="33"/>
      <c r="C123" s="33"/>
      <c r="D123" s="33"/>
      <c r="E123" s="33"/>
      <c r="F123" s="33"/>
      <c r="G123" s="33"/>
      <c r="H123" s="33"/>
      <c r="I123" s="20" t="str">
        <f t="array" ref="I123">IF(C123="","",IFERROR(INDEX('상품표'!$C$4:$C$18,MATCH(C123,'상품표'!$A$4:$A$18,0)),""))</f>
        <v/>
      </c>
      <c r="J123" s="20" t="str">
        <f>IF(I123="","",ROUND(I123*(1-'상품표'!$G$4),0))</f>
        <v/>
      </c>
      <c r="K123" s="20" t="str">
        <f t="shared" si="1"/>
        <v/>
      </c>
      <c r="L123" s="32" t="str">
        <f t="array" ref="L123">IF(C123="","",IF(ISNA(MATCH(C123,'상품표'!$A$4:$A$18,0)),"상품명 확인",IF(H123="","수량 입력",IF(FALSE,"",IF(INDEX('상품표'!$B$4:$B$18,MATCH(C123,'상품표'!$A$4:$A$18,0))="의류",IF(D123="","사이즈 선택",IF(AND(LEFT(C123,4)="후드집업",OR(D123="XXS",D123="XS")),"후드는 S부터",IF(COUNTA(E123:G123)&gt;0,"세트 옵션은 세트만","OK"))),IF(INDEX('상품표'!$B$4:$B$18,MATCH(C123,'상품표'!$A$4:$A$18,0))="세트",IF(COUNTA(E123:G123)&lt;3,"세트 옵션 선택",IF(D123&lt;&gt;"","사이즈 불필요","OK")),IF(COUNTA(E123:G123)&gt;0,"세트 옵션은 세트만",IF(D123&lt;&gt;"","사이즈 불필요","OK"))))))))</f>
        <v/>
      </c>
      <c r="M123" s="44"/>
      <c r="N123" s="45"/>
    </row>
    <row r="124" ht="15.75" customHeight="1">
      <c r="A124" s="32">
        <v>119.0</v>
      </c>
      <c r="B124" s="33"/>
      <c r="C124" s="33"/>
      <c r="D124" s="33"/>
      <c r="E124" s="33"/>
      <c r="F124" s="33"/>
      <c r="G124" s="33"/>
      <c r="H124" s="33"/>
      <c r="I124" s="20" t="str">
        <f t="array" ref="I124">IF(C124="","",IFERROR(INDEX('상품표'!$C$4:$C$18,MATCH(C124,'상품표'!$A$4:$A$18,0)),""))</f>
        <v/>
      </c>
      <c r="J124" s="20" t="str">
        <f>IF(I124="","",ROUND(I124*(1-'상품표'!$G$4),0))</f>
        <v/>
      </c>
      <c r="K124" s="20" t="str">
        <f t="shared" si="1"/>
        <v/>
      </c>
      <c r="L124" s="32" t="str">
        <f t="array" ref="L124">IF(C124="","",IF(ISNA(MATCH(C124,'상품표'!$A$4:$A$18,0)),"상품명 확인",IF(H124="","수량 입력",IF(FALSE,"",IF(INDEX('상품표'!$B$4:$B$18,MATCH(C124,'상품표'!$A$4:$A$18,0))="의류",IF(D124="","사이즈 선택",IF(AND(LEFT(C124,4)="후드집업",OR(D124="XXS",D124="XS")),"후드는 S부터",IF(COUNTA(E124:G124)&gt;0,"세트 옵션은 세트만","OK"))),IF(INDEX('상품표'!$B$4:$B$18,MATCH(C124,'상품표'!$A$4:$A$18,0))="세트",IF(COUNTA(E124:G124)&lt;3,"세트 옵션 선택",IF(D124&lt;&gt;"","사이즈 불필요","OK")),IF(COUNTA(E124:G124)&gt;0,"세트 옵션은 세트만",IF(D124&lt;&gt;"","사이즈 불필요","OK"))))))))</f>
        <v/>
      </c>
      <c r="M124" s="44"/>
      <c r="N124" s="45"/>
    </row>
    <row r="125" ht="15.75" customHeight="1">
      <c r="A125" s="32">
        <v>120.0</v>
      </c>
      <c r="B125" s="33"/>
      <c r="C125" s="33"/>
      <c r="D125" s="33"/>
      <c r="E125" s="33"/>
      <c r="F125" s="33"/>
      <c r="G125" s="33"/>
      <c r="H125" s="33"/>
      <c r="I125" s="20" t="str">
        <f t="array" ref="I125">IF(C125="","",IFERROR(INDEX('상품표'!$C$4:$C$18,MATCH(C125,'상품표'!$A$4:$A$18,0)),""))</f>
        <v/>
      </c>
      <c r="J125" s="20" t="str">
        <f>IF(I125="","",ROUND(I125*(1-'상품표'!$G$4),0))</f>
        <v/>
      </c>
      <c r="K125" s="20" t="str">
        <f t="shared" si="1"/>
        <v/>
      </c>
      <c r="L125" s="32" t="str">
        <f t="array" ref="L125">IF(C125="","",IF(ISNA(MATCH(C125,'상품표'!$A$4:$A$18,0)),"상품명 확인",IF(H125="","수량 입력",IF(FALSE,"",IF(INDEX('상품표'!$B$4:$B$18,MATCH(C125,'상품표'!$A$4:$A$18,0))="의류",IF(D125="","사이즈 선택",IF(AND(LEFT(C125,4)="후드집업",OR(D125="XXS",D125="XS")),"후드는 S부터",IF(COUNTA(E125:G125)&gt;0,"세트 옵션은 세트만","OK"))),IF(INDEX('상품표'!$B$4:$B$18,MATCH(C125,'상품표'!$A$4:$A$18,0))="세트",IF(COUNTA(E125:G125)&lt;3,"세트 옵션 선택",IF(D125&lt;&gt;"","사이즈 불필요","OK")),IF(COUNTA(E125:G125)&gt;0,"세트 옵션은 세트만",IF(D125&lt;&gt;"","사이즈 불필요","OK"))))))))</f>
        <v/>
      </c>
      <c r="M125" s="44"/>
      <c r="N125" s="45"/>
    </row>
    <row r="126" ht="15.75" customHeight="1">
      <c r="A126" s="32">
        <v>121.0</v>
      </c>
      <c r="B126" s="33"/>
      <c r="C126" s="33"/>
      <c r="D126" s="33"/>
      <c r="E126" s="33"/>
      <c r="F126" s="33"/>
      <c r="G126" s="33"/>
      <c r="H126" s="33"/>
      <c r="I126" s="20" t="str">
        <f t="array" ref="I126">IF(C126="","",IFERROR(INDEX('상품표'!$C$4:$C$18,MATCH(C126,'상품표'!$A$4:$A$18,0)),""))</f>
        <v/>
      </c>
      <c r="J126" s="20" t="str">
        <f>IF(I126="","",ROUND(I126*(1-'상품표'!$G$4),0))</f>
        <v/>
      </c>
      <c r="K126" s="20" t="str">
        <f t="shared" si="1"/>
        <v/>
      </c>
      <c r="L126" s="32" t="str">
        <f t="array" ref="L126">IF(C126="","",IF(ISNA(MATCH(C126,'상품표'!$A$4:$A$18,0)),"상품명 확인",IF(H126="","수량 입력",IF(FALSE,"",IF(INDEX('상품표'!$B$4:$B$18,MATCH(C126,'상품표'!$A$4:$A$18,0))="의류",IF(D126="","사이즈 선택",IF(AND(LEFT(C126,4)="후드집업",OR(D126="XXS",D126="XS")),"후드는 S부터",IF(COUNTA(E126:G126)&gt;0,"세트 옵션은 세트만","OK"))),IF(INDEX('상품표'!$B$4:$B$18,MATCH(C126,'상품표'!$A$4:$A$18,0))="세트",IF(COUNTA(E126:G126)&lt;3,"세트 옵션 선택",IF(D126&lt;&gt;"","사이즈 불필요","OK")),IF(COUNTA(E126:G126)&gt;0,"세트 옵션은 세트만",IF(D126&lt;&gt;"","사이즈 불필요","OK"))))))))</f>
        <v/>
      </c>
      <c r="M126" s="44"/>
      <c r="N126" s="45"/>
    </row>
    <row r="127" ht="15.75" customHeight="1">
      <c r="A127" s="32">
        <v>122.0</v>
      </c>
      <c r="B127" s="33"/>
      <c r="C127" s="33"/>
      <c r="D127" s="33"/>
      <c r="E127" s="33"/>
      <c r="F127" s="33"/>
      <c r="G127" s="33"/>
      <c r="H127" s="33"/>
      <c r="I127" s="20" t="str">
        <f t="array" ref="I127">IF(C127="","",IFERROR(INDEX('상품표'!$C$4:$C$18,MATCH(C127,'상품표'!$A$4:$A$18,0)),""))</f>
        <v/>
      </c>
      <c r="J127" s="20" t="str">
        <f>IF(I127="","",ROUND(I127*(1-'상품표'!$G$4),0))</f>
        <v/>
      </c>
      <c r="K127" s="20" t="str">
        <f t="shared" si="1"/>
        <v/>
      </c>
      <c r="L127" s="32" t="str">
        <f t="array" ref="L127">IF(C127="","",IF(ISNA(MATCH(C127,'상품표'!$A$4:$A$18,0)),"상품명 확인",IF(H127="","수량 입력",IF(FALSE,"",IF(INDEX('상품표'!$B$4:$B$18,MATCH(C127,'상품표'!$A$4:$A$18,0))="의류",IF(D127="","사이즈 선택",IF(AND(LEFT(C127,4)="후드집업",OR(D127="XXS",D127="XS")),"후드는 S부터",IF(COUNTA(E127:G127)&gt;0,"세트 옵션은 세트만","OK"))),IF(INDEX('상품표'!$B$4:$B$18,MATCH(C127,'상품표'!$A$4:$A$18,0))="세트",IF(COUNTA(E127:G127)&lt;3,"세트 옵션 선택",IF(D127&lt;&gt;"","사이즈 불필요","OK")),IF(COUNTA(E127:G127)&gt;0,"세트 옵션은 세트만",IF(D127&lt;&gt;"","사이즈 불필요","OK"))))))))</f>
        <v/>
      </c>
      <c r="M127" s="44"/>
      <c r="N127" s="45"/>
    </row>
    <row r="128" ht="15.75" customHeight="1">
      <c r="A128" s="32">
        <v>123.0</v>
      </c>
      <c r="B128" s="33"/>
      <c r="C128" s="33"/>
      <c r="D128" s="33"/>
      <c r="E128" s="33"/>
      <c r="F128" s="33"/>
      <c r="G128" s="33"/>
      <c r="H128" s="33"/>
      <c r="I128" s="20" t="str">
        <f t="array" ref="I128">IF(C128="","",IFERROR(INDEX('상품표'!$C$4:$C$18,MATCH(C128,'상품표'!$A$4:$A$18,0)),""))</f>
        <v/>
      </c>
      <c r="J128" s="20" t="str">
        <f>IF(I128="","",ROUND(I128*(1-'상품표'!$G$4),0))</f>
        <v/>
      </c>
      <c r="K128" s="20" t="str">
        <f t="shared" si="1"/>
        <v/>
      </c>
      <c r="L128" s="32" t="str">
        <f t="array" ref="L128">IF(C128="","",IF(ISNA(MATCH(C128,'상품표'!$A$4:$A$18,0)),"상품명 확인",IF(H128="","수량 입력",IF(FALSE,"",IF(INDEX('상품표'!$B$4:$B$18,MATCH(C128,'상품표'!$A$4:$A$18,0))="의류",IF(D128="","사이즈 선택",IF(AND(LEFT(C128,4)="후드집업",OR(D128="XXS",D128="XS")),"후드는 S부터",IF(COUNTA(E128:G128)&gt;0,"세트 옵션은 세트만","OK"))),IF(INDEX('상품표'!$B$4:$B$18,MATCH(C128,'상품표'!$A$4:$A$18,0))="세트",IF(COUNTA(E128:G128)&lt;3,"세트 옵션 선택",IF(D128&lt;&gt;"","사이즈 불필요","OK")),IF(COUNTA(E128:G128)&gt;0,"세트 옵션은 세트만",IF(D128&lt;&gt;"","사이즈 불필요","OK"))))))))</f>
        <v/>
      </c>
      <c r="M128" s="44"/>
      <c r="N128" s="45"/>
    </row>
    <row r="129" ht="15.75" customHeight="1">
      <c r="A129" s="32">
        <v>124.0</v>
      </c>
      <c r="B129" s="33"/>
      <c r="C129" s="33"/>
      <c r="D129" s="33"/>
      <c r="E129" s="33"/>
      <c r="F129" s="33"/>
      <c r="G129" s="33"/>
      <c r="H129" s="33"/>
      <c r="I129" s="20" t="str">
        <f t="array" ref="I129">IF(C129="","",IFERROR(INDEX('상품표'!$C$4:$C$18,MATCH(C129,'상품표'!$A$4:$A$18,0)),""))</f>
        <v/>
      </c>
      <c r="J129" s="20" t="str">
        <f>IF(I129="","",ROUND(I129*(1-'상품표'!$G$4),0))</f>
        <v/>
      </c>
      <c r="K129" s="20" t="str">
        <f t="shared" si="1"/>
        <v/>
      </c>
      <c r="L129" s="32" t="str">
        <f t="array" ref="L129">IF(C129="","",IF(ISNA(MATCH(C129,'상품표'!$A$4:$A$18,0)),"상품명 확인",IF(H129="","수량 입력",IF(FALSE,"",IF(INDEX('상품표'!$B$4:$B$18,MATCH(C129,'상품표'!$A$4:$A$18,0))="의류",IF(D129="","사이즈 선택",IF(AND(LEFT(C129,4)="후드집업",OR(D129="XXS",D129="XS")),"후드는 S부터",IF(COUNTA(E129:G129)&gt;0,"세트 옵션은 세트만","OK"))),IF(INDEX('상품표'!$B$4:$B$18,MATCH(C129,'상품표'!$A$4:$A$18,0))="세트",IF(COUNTA(E129:G129)&lt;3,"세트 옵션 선택",IF(D129&lt;&gt;"","사이즈 불필요","OK")),IF(COUNTA(E129:G129)&gt;0,"세트 옵션은 세트만",IF(D129&lt;&gt;"","사이즈 불필요","OK"))))))))</f>
        <v/>
      </c>
      <c r="M129" s="44"/>
      <c r="N129" s="45"/>
    </row>
    <row r="130" ht="15.75" customHeight="1">
      <c r="A130" s="32">
        <v>125.0</v>
      </c>
      <c r="B130" s="33"/>
      <c r="C130" s="33"/>
      <c r="D130" s="33"/>
      <c r="E130" s="33"/>
      <c r="F130" s="33"/>
      <c r="G130" s="33"/>
      <c r="H130" s="33"/>
      <c r="I130" s="20" t="str">
        <f t="array" ref="I130">IF(C130="","",IFERROR(INDEX('상품표'!$C$4:$C$18,MATCH(C130,'상품표'!$A$4:$A$18,0)),""))</f>
        <v/>
      </c>
      <c r="J130" s="20" t="str">
        <f>IF(I130="","",ROUND(I130*(1-'상품표'!$G$4),0))</f>
        <v/>
      </c>
      <c r="K130" s="20" t="str">
        <f t="shared" si="1"/>
        <v/>
      </c>
      <c r="L130" s="32" t="str">
        <f t="array" ref="L130">IF(C130="","",IF(ISNA(MATCH(C130,'상품표'!$A$4:$A$18,0)),"상품명 확인",IF(H130="","수량 입력",IF(FALSE,"",IF(INDEX('상품표'!$B$4:$B$18,MATCH(C130,'상품표'!$A$4:$A$18,0))="의류",IF(D130="","사이즈 선택",IF(AND(LEFT(C130,4)="후드집업",OR(D130="XXS",D130="XS")),"후드는 S부터",IF(COUNTA(E130:G130)&gt;0,"세트 옵션은 세트만","OK"))),IF(INDEX('상품표'!$B$4:$B$18,MATCH(C130,'상품표'!$A$4:$A$18,0))="세트",IF(COUNTA(E130:G130)&lt;3,"세트 옵션 선택",IF(D130&lt;&gt;"","사이즈 불필요","OK")),IF(COUNTA(E130:G130)&gt;0,"세트 옵션은 세트만",IF(D130&lt;&gt;"","사이즈 불필요","OK"))))))))</f>
        <v/>
      </c>
      <c r="M130" s="44"/>
      <c r="N130" s="45"/>
    </row>
    <row r="131" ht="15.75" customHeight="1">
      <c r="A131" s="32">
        <v>126.0</v>
      </c>
      <c r="B131" s="33"/>
      <c r="C131" s="33"/>
      <c r="D131" s="33"/>
      <c r="E131" s="33"/>
      <c r="F131" s="33"/>
      <c r="G131" s="33"/>
      <c r="H131" s="33"/>
      <c r="I131" s="20" t="str">
        <f t="array" ref="I131">IF(C131="","",IFERROR(INDEX('상품표'!$C$4:$C$18,MATCH(C131,'상품표'!$A$4:$A$18,0)),""))</f>
        <v/>
      </c>
      <c r="J131" s="20" t="str">
        <f>IF(I131="","",ROUND(I131*(1-'상품표'!$G$4),0))</f>
        <v/>
      </c>
      <c r="K131" s="20" t="str">
        <f t="shared" si="1"/>
        <v/>
      </c>
      <c r="L131" s="32" t="str">
        <f t="array" ref="L131">IF(C131="","",IF(ISNA(MATCH(C131,'상품표'!$A$4:$A$18,0)),"상품명 확인",IF(H131="","수량 입력",IF(FALSE,"",IF(INDEX('상품표'!$B$4:$B$18,MATCH(C131,'상품표'!$A$4:$A$18,0))="의류",IF(D131="","사이즈 선택",IF(AND(LEFT(C131,4)="후드집업",OR(D131="XXS",D131="XS")),"후드는 S부터",IF(COUNTA(E131:G131)&gt;0,"세트 옵션은 세트만","OK"))),IF(INDEX('상품표'!$B$4:$B$18,MATCH(C131,'상품표'!$A$4:$A$18,0))="세트",IF(COUNTA(E131:G131)&lt;3,"세트 옵션 선택",IF(D131&lt;&gt;"","사이즈 불필요","OK")),IF(COUNTA(E131:G131)&gt;0,"세트 옵션은 세트만",IF(D131&lt;&gt;"","사이즈 불필요","OK"))))))))</f>
        <v/>
      </c>
      <c r="M131" s="44"/>
      <c r="N131" s="45"/>
    </row>
    <row r="132" ht="15.75" customHeight="1">
      <c r="A132" s="32">
        <v>127.0</v>
      </c>
      <c r="B132" s="33"/>
      <c r="C132" s="33"/>
      <c r="D132" s="33"/>
      <c r="E132" s="33"/>
      <c r="F132" s="33"/>
      <c r="G132" s="33"/>
      <c r="H132" s="33"/>
      <c r="I132" s="20" t="str">
        <f t="array" ref="I132">IF(C132="","",IFERROR(INDEX('상품표'!$C$4:$C$18,MATCH(C132,'상품표'!$A$4:$A$18,0)),""))</f>
        <v/>
      </c>
      <c r="J132" s="20" t="str">
        <f>IF(I132="","",ROUND(I132*(1-'상품표'!$G$4),0))</f>
        <v/>
      </c>
      <c r="K132" s="20" t="str">
        <f t="shared" si="1"/>
        <v/>
      </c>
      <c r="L132" s="32" t="str">
        <f t="array" ref="L132">IF(C132="","",IF(ISNA(MATCH(C132,'상품표'!$A$4:$A$18,0)),"상품명 확인",IF(H132="","수량 입력",IF(FALSE,"",IF(INDEX('상품표'!$B$4:$B$18,MATCH(C132,'상품표'!$A$4:$A$18,0))="의류",IF(D132="","사이즈 선택",IF(AND(LEFT(C132,4)="후드집업",OR(D132="XXS",D132="XS")),"후드는 S부터",IF(COUNTA(E132:G132)&gt;0,"세트 옵션은 세트만","OK"))),IF(INDEX('상품표'!$B$4:$B$18,MATCH(C132,'상품표'!$A$4:$A$18,0))="세트",IF(COUNTA(E132:G132)&lt;3,"세트 옵션 선택",IF(D132&lt;&gt;"","사이즈 불필요","OK")),IF(COUNTA(E132:G132)&gt;0,"세트 옵션은 세트만",IF(D132&lt;&gt;"","사이즈 불필요","OK"))))))))</f>
        <v/>
      </c>
      <c r="M132" s="44"/>
      <c r="N132" s="45"/>
    </row>
    <row r="133" ht="15.75" customHeight="1">
      <c r="A133" s="32">
        <v>128.0</v>
      </c>
      <c r="B133" s="33"/>
      <c r="C133" s="33"/>
      <c r="D133" s="33"/>
      <c r="E133" s="33"/>
      <c r="F133" s="33"/>
      <c r="G133" s="33"/>
      <c r="H133" s="33"/>
      <c r="I133" s="20" t="str">
        <f t="array" ref="I133">IF(C133="","",IFERROR(INDEX('상품표'!$C$4:$C$18,MATCH(C133,'상품표'!$A$4:$A$18,0)),""))</f>
        <v/>
      </c>
      <c r="J133" s="20" t="str">
        <f>IF(I133="","",ROUND(I133*(1-'상품표'!$G$4),0))</f>
        <v/>
      </c>
      <c r="K133" s="20" t="str">
        <f t="shared" si="1"/>
        <v/>
      </c>
      <c r="L133" s="32" t="str">
        <f t="array" ref="L133">IF(C133="","",IF(ISNA(MATCH(C133,'상품표'!$A$4:$A$18,0)),"상품명 확인",IF(H133="","수량 입력",IF(FALSE,"",IF(INDEX('상품표'!$B$4:$B$18,MATCH(C133,'상품표'!$A$4:$A$18,0))="의류",IF(D133="","사이즈 선택",IF(AND(LEFT(C133,4)="후드집업",OR(D133="XXS",D133="XS")),"후드는 S부터",IF(COUNTA(E133:G133)&gt;0,"세트 옵션은 세트만","OK"))),IF(INDEX('상품표'!$B$4:$B$18,MATCH(C133,'상품표'!$A$4:$A$18,0))="세트",IF(COUNTA(E133:G133)&lt;3,"세트 옵션 선택",IF(D133&lt;&gt;"","사이즈 불필요","OK")),IF(COUNTA(E133:G133)&gt;0,"세트 옵션은 세트만",IF(D133&lt;&gt;"","사이즈 불필요","OK"))))))))</f>
        <v/>
      </c>
      <c r="M133" s="44"/>
      <c r="N133" s="45"/>
    </row>
    <row r="134" ht="15.75" customHeight="1">
      <c r="A134" s="32">
        <v>129.0</v>
      </c>
      <c r="B134" s="33"/>
      <c r="C134" s="33"/>
      <c r="D134" s="33"/>
      <c r="E134" s="33"/>
      <c r="F134" s="33"/>
      <c r="G134" s="33"/>
      <c r="H134" s="33"/>
      <c r="I134" s="20" t="str">
        <f t="array" ref="I134">IF(C134="","",IFERROR(INDEX('상품표'!$C$4:$C$18,MATCH(C134,'상품표'!$A$4:$A$18,0)),""))</f>
        <v/>
      </c>
      <c r="J134" s="20" t="str">
        <f>IF(I134="","",ROUND(I134*(1-'상품표'!$G$4),0))</f>
        <v/>
      </c>
      <c r="K134" s="20" t="str">
        <f t="shared" si="1"/>
        <v/>
      </c>
      <c r="L134" s="32" t="str">
        <f t="array" ref="L134">IF(C134="","",IF(ISNA(MATCH(C134,'상품표'!$A$4:$A$18,0)),"상품명 확인",IF(H134="","수량 입력",IF(FALSE,"",IF(INDEX('상품표'!$B$4:$B$18,MATCH(C134,'상품표'!$A$4:$A$18,0))="의류",IF(D134="","사이즈 선택",IF(AND(LEFT(C134,4)="후드집업",OR(D134="XXS",D134="XS")),"후드는 S부터",IF(COUNTA(E134:G134)&gt;0,"세트 옵션은 세트만","OK"))),IF(INDEX('상품표'!$B$4:$B$18,MATCH(C134,'상품표'!$A$4:$A$18,0))="세트",IF(COUNTA(E134:G134)&lt;3,"세트 옵션 선택",IF(D134&lt;&gt;"","사이즈 불필요","OK")),IF(COUNTA(E134:G134)&gt;0,"세트 옵션은 세트만",IF(D134&lt;&gt;"","사이즈 불필요","OK"))))))))</f>
        <v/>
      </c>
      <c r="M134" s="44"/>
      <c r="N134" s="45"/>
    </row>
    <row r="135" ht="15.75" customHeight="1">
      <c r="A135" s="32">
        <v>130.0</v>
      </c>
      <c r="B135" s="33"/>
      <c r="C135" s="33"/>
      <c r="D135" s="33"/>
      <c r="E135" s="33"/>
      <c r="F135" s="33"/>
      <c r="G135" s="33"/>
      <c r="H135" s="33"/>
      <c r="I135" s="20" t="str">
        <f t="array" ref="I135">IF(C135="","",IFERROR(INDEX('상품표'!$C$4:$C$18,MATCH(C135,'상품표'!$A$4:$A$18,0)),""))</f>
        <v/>
      </c>
      <c r="J135" s="20" t="str">
        <f>IF(I135="","",ROUND(I135*(1-'상품표'!$G$4),0))</f>
        <v/>
      </c>
      <c r="K135" s="20" t="str">
        <f t="shared" si="1"/>
        <v/>
      </c>
      <c r="L135" s="32" t="str">
        <f t="array" ref="L135">IF(C135="","",IF(ISNA(MATCH(C135,'상품표'!$A$4:$A$18,0)),"상품명 확인",IF(H135="","수량 입력",IF(FALSE,"",IF(INDEX('상품표'!$B$4:$B$18,MATCH(C135,'상품표'!$A$4:$A$18,0))="의류",IF(D135="","사이즈 선택",IF(AND(LEFT(C135,4)="후드집업",OR(D135="XXS",D135="XS")),"후드는 S부터",IF(COUNTA(E135:G135)&gt;0,"세트 옵션은 세트만","OK"))),IF(INDEX('상품표'!$B$4:$B$18,MATCH(C135,'상품표'!$A$4:$A$18,0))="세트",IF(COUNTA(E135:G135)&lt;3,"세트 옵션 선택",IF(D135&lt;&gt;"","사이즈 불필요","OK")),IF(COUNTA(E135:G135)&gt;0,"세트 옵션은 세트만",IF(D135&lt;&gt;"","사이즈 불필요","OK"))))))))</f>
        <v/>
      </c>
      <c r="M135" s="44"/>
      <c r="N135" s="45"/>
    </row>
    <row r="136" ht="15.75" customHeight="1">
      <c r="A136" s="32">
        <v>131.0</v>
      </c>
      <c r="B136" s="33"/>
      <c r="C136" s="33"/>
      <c r="D136" s="33"/>
      <c r="E136" s="33"/>
      <c r="F136" s="33"/>
      <c r="G136" s="33"/>
      <c r="H136" s="33"/>
      <c r="I136" s="20" t="str">
        <f t="array" ref="I136">IF(C136="","",IFERROR(INDEX('상품표'!$C$4:$C$18,MATCH(C136,'상품표'!$A$4:$A$18,0)),""))</f>
        <v/>
      </c>
      <c r="J136" s="20" t="str">
        <f>IF(I136="","",ROUND(I136*(1-'상품표'!$G$4),0))</f>
        <v/>
      </c>
      <c r="K136" s="20" t="str">
        <f t="shared" si="1"/>
        <v/>
      </c>
      <c r="L136" s="32" t="str">
        <f t="array" ref="L136">IF(C136="","",IF(ISNA(MATCH(C136,'상품표'!$A$4:$A$18,0)),"상품명 확인",IF(H136="","수량 입력",IF(FALSE,"",IF(INDEX('상품표'!$B$4:$B$18,MATCH(C136,'상품표'!$A$4:$A$18,0))="의류",IF(D136="","사이즈 선택",IF(AND(LEFT(C136,4)="후드집업",OR(D136="XXS",D136="XS")),"후드는 S부터",IF(COUNTA(E136:G136)&gt;0,"세트 옵션은 세트만","OK"))),IF(INDEX('상품표'!$B$4:$B$18,MATCH(C136,'상품표'!$A$4:$A$18,0))="세트",IF(COUNTA(E136:G136)&lt;3,"세트 옵션 선택",IF(D136&lt;&gt;"","사이즈 불필요","OK")),IF(COUNTA(E136:G136)&gt;0,"세트 옵션은 세트만",IF(D136&lt;&gt;"","사이즈 불필요","OK"))))))))</f>
        <v/>
      </c>
      <c r="M136" s="44"/>
      <c r="N136" s="45"/>
    </row>
    <row r="137" ht="15.75" customHeight="1">
      <c r="A137" s="32">
        <v>132.0</v>
      </c>
      <c r="B137" s="33"/>
      <c r="C137" s="33"/>
      <c r="D137" s="33"/>
      <c r="E137" s="33"/>
      <c r="F137" s="33"/>
      <c r="G137" s="33"/>
      <c r="H137" s="33"/>
      <c r="I137" s="20" t="str">
        <f t="array" ref="I137">IF(C137="","",IFERROR(INDEX('상품표'!$C$4:$C$18,MATCH(C137,'상품표'!$A$4:$A$18,0)),""))</f>
        <v/>
      </c>
      <c r="J137" s="20" t="str">
        <f>IF(I137="","",ROUND(I137*(1-'상품표'!$G$4),0))</f>
        <v/>
      </c>
      <c r="K137" s="20" t="str">
        <f t="shared" si="1"/>
        <v/>
      </c>
      <c r="L137" s="32" t="str">
        <f t="array" ref="L137">IF(C137="","",IF(ISNA(MATCH(C137,'상품표'!$A$4:$A$18,0)),"상품명 확인",IF(H137="","수량 입력",IF(FALSE,"",IF(INDEX('상품표'!$B$4:$B$18,MATCH(C137,'상품표'!$A$4:$A$18,0))="의류",IF(D137="","사이즈 선택",IF(AND(LEFT(C137,4)="후드집업",OR(D137="XXS",D137="XS")),"후드는 S부터",IF(COUNTA(E137:G137)&gt;0,"세트 옵션은 세트만","OK"))),IF(INDEX('상품표'!$B$4:$B$18,MATCH(C137,'상품표'!$A$4:$A$18,0))="세트",IF(COUNTA(E137:G137)&lt;3,"세트 옵션 선택",IF(D137&lt;&gt;"","사이즈 불필요","OK")),IF(COUNTA(E137:G137)&gt;0,"세트 옵션은 세트만",IF(D137&lt;&gt;"","사이즈 불필요","OK"))))))))</f>
        <v/>
      </c>
      <c r="M137" s="44"/>
      <c r="N137" s="45"/>
    </row>
    <row r="138" ht="15.75" customHeight="1">
      <c r="A138" s="32">
        <v>133.0</v>
      </c>
      <c r="B138" s="33"/>
      <c r="C138" s="33"/>
      <c r="D138" s="33"/>
      <c r="E138" s="33"/>
      <c r="F138" s="33"/>
      <c r="G138" s="33"/>
      <c r="H138" s="33"/>
      <c r="I138" s="20" t="str">
        <f t="array" ref="I138">IF(C138="","",IFERROR(INDEX('상품표'!$C$4:$C$18,MATCH(C138,'상품표'!$A$4:$A$18,0)),""))</f>
        <v/>
      </c>
      <c r="J138" s="20" t="str">
        <f>IF(I138="","",ROUND(I138*(1-'상품표'!$G$4),0))</f>
        <v/>
      </c>
      <c r="K138" s="20" t="str">
        <f t="shared" si="1"/>
        <v/>
      </c>
      <c r="L138" s="32" t="str">
        <f t="array" ref="L138">IF(C138="","",IF(ISNA(MATCH(C138,'상품표'!$A$4:$A$18,0)),"상품명 확인",IF(H138="","수량 입력",IF(FALSE,"",IF(INDEX('상품표'!$B$4:$B$18,MATCH(C138,'상품표'!$A$4:$A$18,0))="의류",IF(D138="","사이즈 선택",IF(AND(LEFT(C138,4)="후드집업",OR(D138="XXS",D138="XS")),"후드는 S부터",IF(COUNTA(E138:G138)&gt;0,"세트 옵션은 세트만","OK"))),IF(INDEX('상품표'!$B$4:$B$18,MATCH(C138,'상품표'!$A$4:$A$18,0))="세트",IF(COUNTA(E138:G138)&lt;3,"세트 옵션 선택",IF(D138&lt;&gt;"","사이즈 불필요","OK")),IF(COUNTA(E138:G138)&gt;0,"세트 옵션은 세트만",IF(D138&lt;&gt;"","사이즈 불필요","OK"))))))))</f>
        <v/>
      </c>
      <c r="M138" s="44"/>
      <c r="N138" s="45"/>
    </row>
    <row r="139" ht="15.75" customHeight="1">
      <c r="A139" s="32">
        <v>134.0</v>
      </c>
      <c r="B139" s="33"/>
      <c r="C139" s="33"/>
      <c r="D139" s="33"/>
      <c r="E139" s="33"/>
      <c r="F139" s="33"/>
      <c r="G139" s="33"/>
      <c r="H139" s="33"/>
      <c r="I139" s="20" t="str">
        <f t="array" ref="I139">IF(C139="","",IFERROR(INDEX('상품표'!$C$4:$C$18,MATCH(C139,'상품표'!$A$4:$A$18,0)),""))</f>
        <v/>
      </c>
      <c r="J139" s="20" t="str">
        <f>IF(I139="","",ROUND(I139*(1-'상품표'!$G$4),0))</f>
        <v/>
      </c>
      <c r="K139" s="20" t="str">
        <f t="shared" si="1"/>
        <v/>
      </c>
      <c r="L139" s="32" t="str">
        <f t="array" ref="L139">IF(C139="","",IF(ISNA(MATCH(C139,'상품표'!$A$4:$A$18,0)),"상품명 확인",IF(H139="","수량 입력",IF(FALSE,"",IF(INDEX('상품표'!$B$4:$B$18,MATCH(C139,'상품표'!$A$4:$A$18,0))="의류",IF(D139="","사이즈 선택",IF(AND(LEFT(C139,4)="후드집업",OR(D139="XXS",D139="XS")),"후드는 S부터",IF(COUNTA(E139:G139)&gt;0,"세트 옵션은 세트만","OK"))),IF(INDEX('상품표'!$B$4:$B$18,MATCH(C139,'상품표'!$A$4:$A$18,0))="세트",IF(COUNTA(E139:G139)&lt;3,"세트 옵션 선택",IF(D139&lt;&gt;"","사이즈 불필요","OK")),IF(COUNTA(E139:G139)&gt;0,"세트 옵션은 세트만",IF(D139&lt;&gt;"","사이즈 불필요","OK"))))))))</f>
        <v/>
      </c>
      <c r="M139" s="44"/>
      <c r="N139" s="45"/>
    </row>
    <row r="140" ht="15.75" customHeight="1">
      <c r="A140" s="32">
        <v>135.0</v>
      </c>
      <c r="B140" s="33"/>
      <c r="C140" s="33"/>
      <c r="D140" s="33"/>
      <c r="E140" s="33"/>
      <c r="F140" s="33"/>
      <c r="G140" s="33"/>
      <c r="H140" s="33"/>
      <c r="I140" s="20" t="str">
        <f t="array" ref="I140">IF(C140="","",IFERROR(INDEX('상품표'!$C$4:$C$18,MATCH(C140,'상품표'!$A$4:$A$18,0)),""))</f>
        <v/>
      </c>
      <c r="J140" s="20" t="str">
        <f>IF(I140="","",ROUND(I140*(1-'상품표'!$G$4),0))</f>
        <v/>
      </c>
      <c r="K140" s="20" t="str">
        <f t="shared" si="1"/>
        <v/>
      </c>
      <c r="L140" s="32" t="str">
        <f t="array" ref="L140">IF(C140="","",IF(ISNA(MATCH(C140,'상품표'!$A$4:$A$18,0)),"상품명 확인",IF(H140="","수량 입력",IF(FALSE,"",IF(INDEX('상품표'!$B$4:$B$18,MATCH(C140,'상품표'!$A$4:$A$18,0))="의류",IF(D140="","사이즈 선택",IF(AND(LEFT(C140,4)="후드집업",OR(D140="XXS",D140="XS")),"후드는 S부터",IF(COUNTA(E140:G140)&gt;0,"세트 옵션은 세트만","OK"))),IF(INDEX('상품표'!$B$4:$B$18,MATCH(C140,'상품표'!$A$4:$A$18,0))="세트",IF(COUNTA(E140:G140)&lt;3,"세트 옵션 선택",IF(D140&lt;&gt;"","사이즈 불필요","OK")),IF(COUNTA(E140:G140)&gt;0,"세트 옵션은 세트만",IF(D140&lt;&gt;"","사이즈 불필요","OK"))))))))</f>
        <v/>
      </c>
      <c r="M140" s="44"/>
      <c r="N140" s="45"/>
    </row>
    <row r="141" ht="15.75" customHeight="1">
      <c r="A141" s="32">
        <v>136.0</v>
      </c>
      <c r="B141" s="33"/>
      <c r="C141" s="33"/>
      <c r="D141" s="33"/>
      <c r="E141" s="33"/>
      <c r="F141" s="33"/>
      <c r="G141" s="33"/>
      <c r="H141" s="33"/>
      <c r="I141" s="20" t="str">
        <f t="array" ref="I141">IF(C141="","",IFERROR(INDEX('상품표'!$C$4:$C$18,MATCH(C141,'상품표'!$A$4:$A$18,0)),""))</f>
        <v/>
      </c>
      <c r="J141" s="20" t="str">
        <f>IF(I141="","",ROUND(I141*(1-'상품표'!$G$4),0))</f>
        <v/>
      </c>
      <c r="K141" s="20" t="str">
        <f t="shared" si="1"/>
        <v/>
      </c>
      <c r="L141" s="32" t="str">
        <f t="array" ref="L141">IF(C141="","",IF(ISNA(MATCH(C141,'상품표'!$A$4:$A$18,0)),"상품명 확인",IF(H141="","수량 입력",IF(FALSE,"",IF(INDEX('상품표'!$B$4:$B$18,MATCH(C141,'상품표'!$A$4:$A$18,0))="의류",IF(D141="","사이즈 선택",IF(AND(LEFT(C141,4)="후드집업",OR(D141="XXS",D141="XS")),"후드는 S부터",IF(COUNTA(E141:G141)&gt;0,"세트 옵션은 세트만","OK"))),IF(INDEX('상품표'!$B$4:$B$18,MATCH(C141,'상품표'!$A$4:$A$18,0))="세트",IF(COUNTA(E141:G141)&lt;3,"세트 옵션 선택",IF(D141&lt;&gt;"","사이즈 불필요","OK")),IF(COUNTA(E141:G141)&gt;0,"세트 옵션은 세트만",IF(D141&lt;&gt;"","사이즈 불필요","OK"))))))))</f>
        <v/>
      </c>
      <c r="M141" s="44"/>
      <c r="N141" s="45"/>
    </row>
    <row r="142" ht="15.75" customHeight="1">
      <c r="A142" s="32">
        <v>137.0</v>
      </c>
      <c r="B142" s="33"/>
      <c r="C142" s="33"/>
      <c r="D142" s="33"/>
      <c r="E142" s="33"/>
      <c r="F142" s="33"/>
      <c r="G142" s="33"/>
      <c r="H142" s="33"/>
      <c r="I142" s="20" t="str">
        <f t="array" ref="I142">IF(C142="","",IFERROR(INDEX('상품표'!$C$4:$C$18,MATCH(C142,'상품표'!$A$4:$A$18,0)),""))</f>
        <v/>
      </c>
      <c r="J142" s="20" t="str">
        <f>IF(I142="","",ROUND(I142*(1-'상품표'!$G$4),0))</f>
        <v/>
      </c>
      <c r="K142" s="20" t="str">
        <f t="shared" si="1"/>
        <v/>
      </c>
      <c r="L142" s="32" t="str">
        <f t="array" ref="L142">IF(C142="","",IF(ISNA(MATCH(C142,'상품표'!$A$4:$A$18,0)),"상품명 확인",IF(H142="","수량 입력",IF(FALSE,"",IF(INDEX('상품표'!$B$4:$B$18,MATCH(C142,'상품표'!$A$4:$A$18,0))="의류",IF(D142="","사이즈 선택",IF(AND(LEFT(C142,4)="후드집업",OR(D142="XXS",D142="XS")),"후드는 S부터",IF(COUNTA(E142:G142)&gt;0,"세트 옵션은 세트만","OK"))),IF(INDEX('상품표'!$B$4:$B$18,MATCH(C142,'상품표'!$A$4:$A$18,0))="세트",IF(COUNTA(E142:G142)&lt;3,"세트 옵션 선택",IF(D142&lt;&gt;"","사이즈 불필요","OK")),IF(COUNTA(E142:G142)&gt;0,"세트 옵션은 세트만",IF(D142&lt;&gt;"","사이즈 불필요","OK"))))))))</f>
        <v/>
      </c>
      <c r="M142" s="44"/>
      <c r="N142" s="45"/>
    </row>
    <row r="143" ht="15.75" customHeight="1">
      <c r="A143" s="32">
        <v>138.0</v>
      </c>
      <c r="B143" s="33"/>
      <c r="C143" s="33"/>
      <c r="D143" s="33"/>
      <c r="E143" s="33"/>
      <c r="F143" s="33"/>
      <c r="G143" s="33"/>
      <c r="H143" s="33"/>
      <c r="I143" s="20" t="str">
        <f t="array" ref="I143">IF(C143="","",IFERROR(INDEX('상품표'!$C$4:$C$18,MATCH(C143,'상품표'!$A$4:$A$18,0)),""))</f>
        <v/>
      </c>
      <c r="J143" s="20" t="str">
        <f>IF(I143="","",ROUND(I143*(1-'상품표'!$G$4),0))</f>
        <v/>
      </c>
      <c r="K143" s="20" t="str">
        <f t="shared" si="1"/>
        <v/>
      </c>
      <c r="L143" s="32" t="str">
        <f t="array" ref="L143">IF(C143="","",IF(ISNA(MATCH(C143,'상품표'!$A$4:$A$18,0)),"상품명 확인",IF(H143="","수량 입력",IF(FALSE,"",IF(INDEX('상품표'!$B$4:$B$18,MATCH(C143,'상품표'!$A$4:$A$18,0))="의류",IF(D143="","사이즈 선택",IF(AND(LEFT(C143,4)="후드집업",OR(D143="XXS",D143="XS")),"후드는 S부터",IF(COUNTA(E143:G143)&gt;0,"세트 옵션은 세트만","OK"))),IF(INDEX('상품표'!$B$4:$B$18,MATCH(C143,'상품표'!$A$4:$A$18,0))="세트",IF(COUNTA(E143:G143)&lt;3,"세트 옵션 선택",IF(D143&lt;&gt;"","사이즈 불필요","OK")),IF(COUNTA(E143:G143)&gt;0,"세트 옵션은 세트만",IF(D143&lt;&gt;"","사이즈 불필요","OK"))))))))</f>
        <v/>
      </c>
      <c r="M143" s="44"/>
      <c r="N143" s="45"/>
    </row>
    <row r="144" ht="15.75" customHeight="1">
      <c r="A144" s="32">
        <v>139.0</v>
      </c>
      <c r="B144" s="33"/>
      <c r="C144" s="33"/>
      <c r="D144" s="33"/>
      <c r="E144" s="33"/>
      <c r="F144" s="33"/>
      <c r="G144" s="33"/>
      <c r="H144" s="33"/>
      <c r="I144" s="20" t="str">
        <f t="array" ref="I144">IF(C144="","",IFERROR(INDEX('상품표'!$C$4:$C$18,MATCH(C144,'상품표'!$A$4:$A$18,0)),""))</f>
        <v/>
      </c>
      <c r="J144" s="20" t="str">
        <f>IF(I144="","",ROUND(I144*(1-'상품표'!$G$4),0))</f>
        <v/>
      </c>
      <c r="K144" s="20" t="str">
        <f t="shared" si="1"/>
        <v/>
      </c>
      <c r="L144" s="32" t="str">
        <f t="array" ref="L144">IF(C144="","",IF(ISNA(MATCH(C144,'상품표'!$A$4:$A$18,0)),"상품명 확인",IF(H144="","수량 입력",IF(FALSE,"",IF(INDEX('상품표'!$B$4:$B$18,MATCH(C144,'상품표'!$A$4:$A$18,0))="의류",IF(D144="","사이즈 선택",IF(AND(LEFT(C144,4)="후드집업",OR(D144="XXS",D144="XS")),"후드는 S부터",IF(COUNTA(E144:G144)&gt;0,"세트 옵션은 세트만","OK"))),IF(INDEX('상품표'!$B$4:$B$18,MATCH(C144,'상품표'!$A$4:$A$18,0))="세트",IF(COUNTA(E144:G144)&lt;3,"세트 옵션 선택",IF(D144&lt;&gt;"","사이즈 불필요","OK")),IF(COUNTA(E144:G144)&gt;0,"세트 옵션은 세트만",IF(D144&lt;&gt;"","사이즈 불필요","OK"))))))))</f>
        <v/>
      </c>
      <c r="M144" s="44"/>
      <c r="N144" s="45"/>
    </row>
    <row r="145" ht="15.75" customHeight="1">
      <c r="A145" s="32">
        <v>140.0</v>
      </c>
      <c r="B145" s="33"/>
      <c r="C145" s="33"/>
      <c r="D145" s="33"/>
      <c r="E145" s="33"/>
      <c r="F145" s="33"/>
      <c r="G145" s="33"/>
      <c r="H145" s="33"/>
      <c r="I145" s="20" t="str">
        <f t="array" ref="I145">IF(C145="","",IFERROR(INDEX('상품표'!$C$4:$C$18,MATCH(C145,'상품표'!$A$4:$A$18,0)),""))</f>
        <v/>
      </c>
      <c r="J145" s="20" t="str">
        <f>IF(I145="","",ROUND(I145*(1-'상품표'!$G$4),0))</f>
        <v/>
      </c>
      <c r="K145" s="20" t="str">
        <f t="shared" si="1"/>
        <v/>
      </c>
      <c r="L145" s="32" t="str">
        <f t="array" ref="L145">IF(C145="","",IF(ISNA(MATCH(C145,'상품표'!$A$4:$A$18,0)),"상품명 확인",IF(H145="","수량 입력",IF(FALSE,"",IF(INDEX('상품표'!$B$4:$B$18,MATCH(C145,'상품표'!$A$4:$A$18,0))="의류",IF(D145="","사이즈 선택",IF(AND(LEFT(C145,4)="후드집업",OR(D145="XXS",D145="XS")),"후드는 S부터",IF(COUNTA(E145:G145)&gt;0,"세트 옵션은 세트만","OK"))),IF(INDEX('상품표'!$B$4:$B$18,MATCH(C145,'상품표'!$A$4:$A$18,0))="세트",IF(COUNTA(E145:G145)&lt;3,"세트 옵션 선택",IF(D145&lt;&gt;"","사이즈 불필요","OK")),IF(COUNTA(E145:G145)&gt;0,"세트 옵션은 세트만",IF(D145&lt;&gt;"","사이즈 불필요","OK"))))))))</f>
        <v/>
      </c>
      <c r="M145" s="44"/>
      <c r="N145" s="45"/>
    </row>
    <row r="146" ht="15.75" customHeight="1">
      <c r="A146" s="32">
        <v>141.0</v>
      </c>
      <c r="B146" s="33"/>
      <c r="C146" s="33"/>
      <c r="D146" s="33"/>
      <c r="E146" s="33"/>
      <c r="F146" s="33"/>
      <c r="G146" s="33"/>
      <c r="H146" s="33"/>
      <c r="I146" s="20" t="str">
        <f t="array" ref="I146">IF(C146="","",IFERROR(INDEX('상품표'!$C$4:$C$18,MATCH(C146,'상품표'!$A$4:$A$18,0)),""))</f>
        <v/>
      </c>
      <c r="J146" s="20" t="str">
        <f>IF(I146="","",ROUND(I146*(1-'상품표'!$G$4),0))</f>
        <v/>
      </c>
      <c r="K146" s="20" t="str">
        <f t="shared" si="1"/>
        <v/>
      </c>
      <c r="L146" s="32" t="str">
        <f t="array" ref="L146">IF(C146="","",IF(ISNA(MATCH(C146,'상품표'!$A$4:$A$18,0)),"상품명 확인",IF(H146="","수량 입력",IF(FALSE,"",IF(INDEX('상품표'!$B$4:$B$18,MATCH(C146,'상품표'!$A$4:$A$18,0))="의류",IF(D146="","사이즈 선택",IF(AND(LEFT(C146,4)="후드집업",OR(D146="XXS",D146="XS")),"후드는 S부터",IF(COUNTA(E146:G146)&gt;0,"세트 옵션은 세트만","OK"))),IF(INDEX('상품표'!$B$4:$B$18,MATCH(C146,'상품표'!$A$4:$A$18,0))="세트",IF(COUNTA(E146:G146)&lt;3,"세트 옵션 선택",IF(D146&lt;&gt;"","사이즈 불필요","OK")),IF(COUNTA(E146:G146)&gt;0,"세트 옵션은 세트만",IF(D146&lt;&gt;"","사이즈 불필요","OK"))))))))</f>
        <v/>
      </c>
      <c r="M146" s="44"/>
      <c r="N146" s="45"/>
    </row>
    <row r="147" ht="15.75" customHeight="1">
      <c r="A147" s="32">
        <v>142.0</v>
      </c>
      <c r="B147" s="33"/>
      <c r="C147" s="33"/>
      <c r="D147" s="33"/>
      <c r="E147" s="33"/>
      <c r="F147" s="33"/>
      <c r="G147" s="33"/>
      <c r="H147" s="33"/>
      <c r="I147" s="20" t="str">
        <f t="array" ref="I147">IF(C147="","",IFERROR(INDEX('상품표'!$C$4:$C$18,MATCH(C147,'상품표'!$A$4:$A$18,0)),""))</f>
        <v/>
      </c>
      <c r="J147" s="20" t="str">
        <f>IF(I147="","",ROUND(I147*(1-'상품표'!$G$4),0))</f>
        <v/>
      </c>
      <c r="K147" s="20" t="str">
        <f t="shared" si="1"/>
        <v/>
      </c>
      <c r="L147" s="32" t="str">
        <f t="array" ref="L147">IF(C147="","",IF(ISNA(MATCH(C147,'상품표'!$A$4:$A$18,0)),"상품명 확인",IF(H147="","수량 입력",IF(FALSE,"",IF(INDEX('상품표'!$B$4:$B$18,MATCH(C147,'상품표'!$A$4:$A$18,0))="의류",IF(D147="","사이즈 선택",IF(AND(LEFT(C147,4)="후드집업",OR(D147="XXS",D147="XS")),"후드는 S부터",IF(COUNTA(E147:G147)&gt;0,"세트 옵션은 세트만","OK"))),IF(INDEX('상품표'!$B$4:$B$18,MATCH(C147,'상품표'!$A$4:$A$18,0))="세트",IF(COUNTA(E147:G147)&lt;3,"세트 옵션 선택",IF(D147&lt;&gt;"","사이즈 불필요","OK")),IF(COUNTA(E147:G147)&gt;0,"세트 옵션은 세트만",IF(D147&lt;&gt;"","사이즈 불필요","OK"))))))))</f>
        <v/>
      </c>
      <c r="M147" s="44"/>
      <c r="N147" s="45"/>
    </row>
    <row r="148" ht="15.75" customHeight="1">
      <c r="A148" s="32">
        <v>143.0</v>
      </c>
      <c r="B148" s="33"/>
      <c r="C148" s="33"/>
      <c r="D148" s="33"/>
      <c r="E148" s="33"/>
      <c r="F148" s="33"/>
      <c r="G148" s="33"/>
      <c r="H148" s="33"/>
      <c r="I148" s="20" t="str">
        <f t="array" ref="I148">IF(C148="","",IFERROR(INDEX('상품표'!$C$4:$C$18,MATCH(C148,'상품표'!$A$4:$A$18,0)),""))</f>
        <v/>
      </c>
      <c r="J148" s="20" t="str">
        <f>IF(I148="","",ROUND(I148*(1-'상품표'!$G$4),0))</f>
        <v/>
      </c>
      <c r="K148" s="20" t="str">
        <f t="shared" si="1"/>
        <v/>
      </c>
      <c r="L148" s="32" t="str">
        <f t="array" ref="L148">IF(C148="","",IF(ISNA(MATCH(C148,'상품표'!$A$4:$A$18,0)),"상품명 확인",IF(H148="","수량 입력",IF(FALSE,"",IF(INDEX('상품표'!$B$4:$B$18,MATCH(C148,'상품표'!$A$4:$A$18,0))="의류",IF(D148="","사이즈 선택",IF(AND(LEFT(C148,4)="후드집업",OR(D148="XXS",D148="XS")),"후드는 S부터",IF(COUNTA(E148:G148)&gt;0,"세트 옵션은 세트만","OK"))),IF(INDEX('상품표'!$B$4:$B$18,MATCH(C148,'상품표'!$A$4:$A$18,0))="세트",IF(COUNTA(E148:G148)&lt;3,"세트 옵션 선택",IF(D148&lt;&gt;"","사이즈 불필요","OK")),IF(COUNTA(E148:G148)&gt;0,"세트 옵션은 세트만",IF(D148&lt;&gt;"","사이즈 불필요","OK"))))))))</f>
        <v/>
      </c>
      <c r="M148" s="44"/>
      <c r="N148" s="45"/>
    </row>
    <row r="149" ht="15.75" customHeight="1">
      <c r="A149" s="32">
        <v>144.0</v>
      </c>
      <c r="B149" s="33"/>
      <c r="C149" s="33"/>
      <c r="D149" s="33"/>
      <c r="E149" s="33"/>
      <c r="F149" s="33"/>
      <c r="G149" s="33"/>
      <c r="H149" s="33"/>
      <c r="I149" s="20" t="str">
        <f t="array" ref="I149">IF(C149="","",IFERROR(INDEX('상품표'!$C$4:$C$18,MATCH(C149,'상품표'!$A$4:$A$18,0)),""))</f>
        <v/>
      </c>
      <c r="J149" s="20" t="str">
        <f>IF(I149="","",ROUND(I149*(1-'상품표'!$G$4),0))</f>
        <v/>
      </c>
      <c r="K149" s="20" t="str">
        <f t="shared" si="1"/>
        <v/>
      </c>
      <c r="L149" s="32" t="str">
        <f t="array" ref="L149">IF(C149="","",IF(ISNA(MATCH(C149,'상품표'!$A$4:$A$18,0)),"상품명 확인",IF(H149="","수량 입력",IF(FALSE,"",IF(INDEX('상품표'!$B$4:$B$18,MATCH(C149,'상품표'!$A$4:$A$18,0))="의류",IF(D149="","사이즈 선택",IF(AND(LEFT(C149,4)="후드집업",OR(D149="XXS",D149="XS")),"후드는 S부터",IF(COUNTA(E149:G149)&gt;0,"세트 옵션은 세트만","OK"))),IF(INDEX('상품표'!$B$4:$B$18,MATCH(C149,'상품표'!$A$4:$A$18,0))="세트",IF(COUNTA(E149:G149)&lt;3,"세트 옵션 선택",IF(D149&lt;&gt;"","사이즈 불필요","OK")),IF(COUNTA(E149:G149)&gt;0,"세트 옵션은 세트만",IF(D149&lt;&gt;"","사이즈 불필요","OK"))))))))</f>
        <v/>
      </c>
      <c r="M149" s="44"/>
      <c r="N149" s="45"/>
    </row>
    <row r="150" ht="15.75" customHeight="1">
      <c r="A150" s="32">
        <v>145.0</v>
      </c>
      <c r="B150" s="33"/>
      <c r="C150" s="33"/>
      <c r="D150" s="33"/>
      <c r="E150" s="33"/>
      <c r="F150" s="33"/>
      <c r="G150" s="33"/>
      <c r="H150" s="33"/>
      <c r="I150" s="20" t="str">
        <f t="array" ref="I150">IF(C150="","",IFERROR(INDEX('상품표'!$C$4:$C$18,MATCH(C150,'상품표'!$A$4:$A$18,0)),""))</f>
        <v/>
      </c>
      <c r="J150" s="20" t="str">
        <f>IF(I150="","",ROUND(I150*(1-'상품표'!$G$4),0))</f>
        <v/>
      </c>
      <c r="K150" s="20" t="str">
        <f t="shared" si="1"/>
        <v/>
      </c>
      <c r="L150" s="32" t="str">
        <f t="array" ref="L150">IF(C150="","",IF(ISNA(MATCH(C150,'상품표'!$A$4:$A$18,0)),"상품명 확인",IF(H150="","수량 입력",IF(FALSE,"",IF(INDEX('상품표'!$B$4:$B$18,MATCH(C150,'상품표'!$A$4:$A$18,0))="의류",IF(D150="","사이즈 선택",IF(AND(LEFT(C150,4)="후드집업",OR(D150="XXS",D150="XS")),"후드는 S부터",IF(COUNTA(E150:G150)&gt;0,"세트 옵션은 세트만","OK"))),IF(INDEX('상품표'!$B$4:$B$18,MATCH(C150,'상품표'!$A$4:$A$18,0))="세트",IF(COUNTA(E150:G150)&lt;3,"세트 옵션 선택",IF(D150&lt;&gt;"","사이즈 불필요","OK")),IF(COUNTA(E150:G150)&gt;0,"세트 옵션은 세트만",IF(D150&lt;&gt;"","사이즈 불필요","OK"))))))))</f>
        <v/>
      </c>
      <c r="M150" s="44"/>
      <c r="N150" s="45"/>
    </row>
    <row r="151" ht="15.75" customHeight="1">
      <c r="A151" s="32">
        <v>146.0</v>
      </c>
      <c r="B151" s="33"/>
      <c r="C151" s="33"/>
      <c r="D151" s="33"/>
      <c r="E151" s="33"/>
      <c r="F151" s="33"/>
      <c r="G151" s="33"/>
      <c r="H151" s="33"/>
      <c r="I151" s="20" t="str">
        <f t="array" ref="I151">IF(C151="","",IFERROR(INDEX('상품표'!$C$4:$C$18,MATCH(C151,'상품표'!$A$4:$A$18,0)),""))</f>
        <v/>
      </c>
      <c r="J151" s="20" t="str">
        <f>IF(I151="","",ROUND(I151*(1-'상품표'!$G$4),0))</f>
        <v/>
      </c>
      <c r="K151" s="20" t="str">
        <f t="shared" si="1"/>
        <v/>
      </c>
      <c r="L151" s="32" t="str">
        <f t="array" ref="L151">IF(C151="","",IF(ISNA(MATCH(C151,'상품표'!$A$4:$A$18,0)),"상품명 확인",IF(H151="","수량 입력",IF(FALSE,"",IF(INDEX('상품표'!$B$4:$B$18,MATCH(C151,'상품표'!$A$4:$A$18,0))="의류",IF(D151="","사이즈 선택",IF(AND(LEFT(C151,4)="후드집업",OR(D151="XXS",D151="XS")),"후드는 S부터",IF(COUNTA(E151:G151)&gt;0,"세트 옵션은 세트만","OK"))),IF(INDEX('상품표'!$B$4:$B$18,MATCH(C151,'상품표'!$A$4:$A$18,0))="세트",IF(COUNTA(E151:G151)&lt;3,"세트 옵션 선택",IF(D151&lt;&gt;"","사이즈 불필요","OK")),IF(COUNTA(E151:G151)&gt;0,"세트 옵션은 세트만",IF(D151&lt;&gt;"","사이즈 불필요","OK"))))))))</f>
        <v/>
      </c>
      <c r="M151" s="44"/>
      <c r="N151" s="45"/>
    </row>
    <row r="152" ht="15.75" customHeight="1">
      <c r="A152" s="32">
        <v>147.0</v>
      </c>
      <c r="B152" s="33"/>
      <c r="C152" s="33"/>
      <c r="D152" s="33"/>
      <c r="E152" s="33"/>
      <c r="F152" s="33"/>
      <c r="G152" s="33"/>
      <c r="H152" s="33"/>
      <c r="I152" s="20" t="str">
        <f t="array" ref="I152">IF(C152="","",IFERROR(INDEX('상품표'!$C$4:$C$18,MATCH(C152,'상품표'!$A$4:$A$18,0)),""))</f>
        <v/>
      </c>
      <c r="J152" s="20" t="str">
        <f>IF(I152="","",ROUND(I152*(1-'상품표'!$G$4),0))</f>
        <v/>
      </c>
      <c r="K152" s="20" t="str">
        <f t="shared" si="1"/>
        <v/>
      </c>
      <c r="L152" s="32" t="str">
        <f t="array" ref="L152">IF(C152="","",IF(ISNA(MATCH(C152,'상품표'!$A$4:$A$18,0)),"상품명 확인",IF(H152="","수량 입력",IF(FALSE,"",IF(INDEX('상품표'!$B$4:$B$18,MATCH(C152,'상품표'!$A$4:$A$18,0))="의류",IF(D152="","사이즈 선택",IF(AND(LEFT(C152,4)="후드집업",OR(D152="XXS",D152="XS")),"후드는 S부터",IF(COUNTA(E152:G152)&gt;0,"세트 옵션은 세트만","OK"))),IF(INDEX('상품표'!$B$4:$B$18,MATCH(C152,'상품표'!$A$4:$A$18,0))="세트",IF(COUNTA(E152:G152)&lt;3,"세트 옵션 선택",IF(D152&lt;&gt;"","사이즈 불필요","OK")),IF(COUNTA(E152:G152)&gt;0,"세트 옵션은 세트만",IF(D152&lt;&gt;"","사이즈 불필요","OK"))))))))</f>
        <v/>
      </c>
      <c r="M152" s="44"/>
      <c r="N152" s="45"/>
    </row>
    <row r="153" ht="15.75" customHeight="1">
      <c r="A153" s="32">
        <v>148.0</v>
      </c>
      <c r="B153" s="33"/>
      <c r="C153" s="33"/>
      <c r="D153" s="33"/>
      <c r="E153" s="33"/>
      <c r="F153" s="33"/>
      <c r="G153" s="33"/>
      <c r="H153" s="33"/>
      <c r="I153" s="20" t="str">
        <f t="array" ref="I153">IF(C153="","",IFERROR(INDEX('상품표'!$C$4:$C$18,MATCH(C153,'상품표'!$A$4:$A$18,0)),""))</f>
        <v/>
      </c>
      <c r="J153" s="20" t="str">
        <f>IF(I153="","",ROUND(I153*(1-'상품표'!$G$4),0))</f>
        <v/>
      </c>
      <c r="K153" s="20" t="str">
        <f t="shared" si="1"/>
        <v/>
      </c>
      <c r="L153" s="32" t="str">
        <f t="array" ref="L153">IF(C153="","",IF(ISNA(MATCH(C153,'상품표'!$A$4:$A$18,0)),"상품명 확인",IF(H153="","수량 입력",IF(FALSE,"",IF(INDEX('상품표'!$B$4:$B$18,MATCH(C153,'상품표'!$A$4:$A$18,0))="의류",IF(D153="","사이즈 선택",IF(AND(LEFT(C153,4)="후드집업",OR(D153="XXS",D153="XS")),"후드는 S부터",IF(COUNTA(E153:G153)&gt;0,"세트 옵션은 세트만","OK"))),IF(INDEX('상품표'!$B$4:$B$18,MATCH(C153,'상품표'!$A$4:$A$18,0))="세트",IF(COUNTA(E153:G153)&lt;3,"세트 옵션 선택",IF(D153&lt;&gt;"","사이즈 불필요","OK")),IF(COUNTA(E153:G153)&gt;0,"세트 옵션은 세트만",IF(D153&lt;&gt;"","사이즈 불필요","OK"))))))))</f>
        <v/>
      </c>
      <c r="M153" s="44"/>
      <c r="N153" s="45"/>
    </row>
    <row r="154" ht="15.75" customHeight="1">
      <c r="A154" s="32">
        <v>149.0</v>
      </c>
      <c r="B154" s="33"/>
      <c r="C154" s="33"/>
      <c r="D154" s="33"/>
      <c r="E154" s="33"/>
      <c r="F154" s="33"/>
      <c r="G154" s="33"/>
      <c r="H154" s="33"/>
      <c r="I154" s="20" t="str">
        <f t="array" ref="I154">IF(C154="","",IFERROR(INDEX('상품표'!$C$4:$C$18,MATCH(C154,'상품표'!$A$4:$A$18,0)),""))</f>
        <v/>
      </c>
      <c r="J154" s="20" t="str">
        <f>IF(I154="","",ROUND(I154*(1-'상품표'!$G$4),0))</f>
        <v/>
      </c>
      <c r="K154" s="20" t="str">
        <f t="shared" si="1"/>
        <v/>
      </c>
      <c r="L154" s="32" t="str">
        <f t="array" ref="L154">IF(C154="","",IF(ISNA(MATCH(C154,'상품표'!$A$4:$A$18,0)),"상품명 확인",IF(H154="","수량 입력",IF(FALSE,"",IF(INDEX('상품표'!$B$4:$B$18,MATCH(C154,'상품표'!$A$4:$A$18,0))="의류",IF(D154="","사이즈 선택",IF(AND(LEFT(C154,4)="후드집업",OR(D154="XXS",D154="XS")),"후드는 S부터",IF(COUNTA(E154:G154)&gt;0,"세트 옵션은 세트만","OK"))),IF(INDEX('상품표'!$B$4:$B$18,MATCH(C154,'상품표'!$A$4:$A$18,0))="세트",IF(COUNTA(E154:G154)&lt;3,"세트 옵션 선택",IF(D154&lt;&gt;"","사이즈 불필요","OK")),IF(COUNTA(E154:G154)&gt;0,"세트 옵션은 세트만",IF(D154&lt;&gt;"","사이즈 불필요","OK"))))))))</f>
        <v/>
      </c>
      <c r="M154" s="44"/>
      <c r="N154" s="45"/>
    </row>
    <row r="155" ht="15.75" customHeight="1">
      <c r="A155" s="32">
        <v>150.0</v>
      </c>
      <c r="B155" s="33"/>
      <c r="C155" s="33"/>
      <c r="D155" s="33"/>
      <c r="E155" s="33"/>
      <c r="F155" s="33"/>
      <c r="G155" s="33"/>
      <c r="H155" s="33"/>
      <c r="I155" s="20" t="str">
        <f t="array" ref="I155">IF(C155="","",IFERROR(INDEX('상품표'!$C$4:$C$18,MATCH(C155,'상품표'!$A$4:$A$18,0)),""))</f>
        <v/>
      </c>
      <c r="J155" s="20" t="str">
        <f>IF(I155="","",ROUND(I155*(1-'상품표'!$G$4),0))</f>
        <v/>
      </c>
      <c r="K155" s="20" t="str">
        <f t="shared" si="1"/>
        <v/>
      </c>
      <c r="L155" s="32" t="str">
        <f t="array" ref="L155">IF(C155="","",IF(ISNA(MATCH(C155,'상품표'!$A$4:$A$18,0)),"상품명 확인",IF(H155="","수량 입력",IF(FALSE,"",IF(INDEX('상품표'!$B$4:$B$18,MATCH(C155,'상품표'!$A$4:$A$18,0))="의류",IF(D155="","사이즈 선택",IF(AND(LEFT(C155,4)="후드집업",OR(D155="XXS",D155="XS")),"후드는 S부터",IF(COUNTA(E155:G155)&gt;0,"세트 옵션은 세트만","OK"))),IF(INDEX('상품표'!$B$4:$B$18,MATCH(C155,'상품표'!$A$4:$A$18,0))="세트",IF(COUNTA(E155:G155)&lt;3,"세트 옵션 선택",IF(D155&lt;&gt;"","사이즈 불필요","OK")),IF(COUNTA(E155:G155)&gt;0,"세트 옵션은 세트만",IF(D155&lt;&gt;"","사이즈 불필요","OK"))))))))</f>
        <v/>
      </c>
      <c r="M155" s="44"/>
      <c r="N155" s="45"/>
    </row>
    <row r="156" ht="15.75" customHeight="1">
      <c r="A156" s="32">
        <v>151.0</v>
      </c>
      <c r="B156" s="33"/>
      <c r="C156" s="33"/>
      <c r="D156" s="33"/>
      <c r="E156" s="33"/>
      <c r="F156" s="33"/>
      <c r="G156" s="33"/>
      <c r="H156" s="33"/>
      <c r="I156" s="20" t="str">
        <f t="array" ref="I156">IF(C156="","",IFERROR(INDEX('상품표'!$C$4:$C$18,MATCH(C156,'상품표'!$A$4:$A$18,0)),""))</f>
        <v/>
      </c>
      <c r="J156" s="20" t="str">
        <f>IF(I156="","",ROUND(I156*(1-'상품표'!$G$4),0))</f>
        <v/>
      </c>
      <c r="K156" s="20" t="str">
        <f t="shared" si="1"/>
        <v/>
      </c>
      <c r="L156" s="32" t="str">
        <f t="array" ref="L156">IF(C156="","",IF(ISNA(MATCH(C156,'상품표'!$A$4:$A$18,0)),"상품명 확인",IF(H156="","수량 입력",IF(FALSE,"",IF(INDEX('상품표'!$B$4:$B$18,MATCH(C156,'상품표'!$A$4:$A$18,0))="의류",IF(D156="","사이즈 선택",IF(AND(LEFT(C156,4)="후드집업",OR(D156="XXS",D156="XS")),"후드는 S부터",IF(COUNTA(E156:G156)&gt;0,"세트 옵션은 세트만","OK"))),IF(INDEX('상품표'!$B$4:$B$18,MATCH(C156,'상품표'!$A$4:$A$18,0))="세트",IF(COUNTA(E156:G156)&lt;3,"세트 옵션 선택",IF(D156&lt;&gt;"","사이즈 불필요","OK")),IF(COUNTA(E156:G156)&gt;0,"세트 옵션은 세트만",IF(D156&lt;&gt;"","사이즈 불필요","OK"))))))))</f>
        <v/>
      </c>
      <c r="M156" s="44"/>
      <c r="N156" s="45"/>
    </row>
    <row r="157" ht="15.75" customHeight="1">
      <c r="A157" s="32">
        <v>152.0</v>
      </c>
      <c r="B157" s="33"/>
      <c r="C157" s="33"/>
      <c r="D157" s="33"/>
      <c r="E157" s="33"/>
      <c r="F157" s="33"/>
      <c r="G157" s="33"/>
      <c r="H157" s="33"/>
      <c r="I157" s="20" t="str">
        <f t="array" ref="I157">IF(C157="","",IFERROR(INDEX('상품표'!$C$4:$C$18,MATCH(C157,'상품표'!$A$4:$A$18,0)),""))</f>
        <v/>
      </c>
      <c r="J157" s="20" t="str">
        <f>IF(I157="","",ROUND(I157*(1-'상품표'!$G$4),0))</f>
        <v/>
      </c>
      <c r="K157" s="20" t="str">
        <f t="shared" si="1"/>
        <v/>
      </c>
      <c r="L157" s="32" t="str">
        <f t="array" ref="L157">IF(C157="","",IF(ISNA(MATCH(C157,'상품표'!$A$4:$A$18,0)),"상품명 확인",IF(H157="","수량 입력",IF(FALSE,"",IF(INDEX('상품표'!$B$4:$B$18,MATCH(C157,'상품표'!$A$4:$A$18,0))="의류",IF(D157="","사이즈 선택",IF(AND(LEFT(C157,4)="후드집업",OR(D157="XXS",D157="XS")),"후드는 S부터",IF(COUNTA(E157:G157)&gt;0,"세트 옵션은 세트만","OK"))),IF(INDEX('상품표'!$B$4:$B$18,MATCH(C157,'상품표'!$A$4:$A$18,0))="세트",IF(COUNTA(E157:G157)&lt;3,"세트 옵션 선택",IF(D157&lt;&gt;"","사이즈 불필요","OK")),IF(COUNTA(E157:G157)&gt;0,"세트 옵션은 세트만",IF(D157&lt;&gt;"","사이즈 불필요","OK"))))))))</f>
        <v/>
      </c>
      <c r="M157" s="44"/>
      <c r="N157" s="45"/>
    </row>
    <row r="158" ht="15.75" customHeight="1">
      <c r="A158" s="32">
        <v>153.0</v>
      </c>
      <c r="B158" s="33"/>
      <c r="C158" s="33"/>
      <c r="D158" s="33"/>
      <c r="E158" s="33"/>
      <c r="F158" s="33"/>
      <c r="G158" s="33"/>
      <c r="H158" s="33"/>
      <c r="I158" s="20" t="str">
        <f t="array" ref="I158">IF(C158="","",IFERROR(INDEX('상품표'!$C$4:$C$18,MATCH(C158,'상품표'!$A$4:$A$18,0)),""))</f>
        <v/>
      </c>
      <c r="J158" s="20" t="str">
        <f>IF(I158="","",ROUND(I158*(1-'상품표'!$G$4),0))</f>
        <v/>
      </c>
      <c r="K158" s="20" t="str">
        <f t="shared" si="1"/>
        <v/>
      </c>
      <c r="L158" s="32" t="str">
        <f t="array" ref="L158">IF(C158="","",IF(ISNA(MATCH(C158,'상품표'!$A$4:$A$18,0)),"상품명 확인",IF(H158="","수량 입력",IF(FALSE,"",IF(INDEX('상품표'!$B$4:$B$18,MATCH(C158,'상품표'!$A$4:$A$18,0))="의류",IF(D158="","사이즈 선택",IF(AND(LEFT(C158,4)="후드집업",OR(D158="XXS",D158="XS")),"후드는 S부터",IF(COUNTA(E158:G158)&gt;0,"세트 옵션은 세트만","OK"))),IF(INDEX('상품표'!$B$4:$B$18,MATCH(C158,'상품표'!$A$4:$A$18,0))="세트",IF(COUNTA(E158:G158)&lt;3,"세트 옵션 선택",IF(D158&lt;&gt;"","사이즈 불필요","OK")),IF(COUNTA(E158:G158)&gt;0,"세트 옵션은 세트만",IF(D158&lt;&gt;"","사이즈 불필요","OK"))))))))</f>
        <v/>
      </c>
      <c r="M158" s="44"/>
      <c r="N158" s="45"/>
    </row>
    <row r="159" ht="15.75" customHeight="1">
      <c r="A159" s="32">
        <v>154.0</v>
      </c>
      <c r="B159" s="33"/>
      <c r="C159" s="33"/>
      <c r="D159" s="33"/>
      <c r="E159" s="33"/>
      <c r="F159" s="33"/>
      <c r="G159" s="33"/>
      <c r="H159" s="33"/>
      <c r="I159" s="20" t="str">
        <f t="array" ref="I159">IF(C159="","",IFERROR(INDEX('상품표'!$C$4:$C$18,MATCH(C159,'상품표'!$A$4:$A$18,0)),""))</f>
        <v/>
      </c>
      <c r="J159" s="20" t="str">
        <f>IF(I159="","",ROUND(I159*(1-'상품표'!$G$4),0))</f>
        <v/>
      </c>
      <c r="K159" s="20" t="str">
        <f t="shared" si="1"/>
        <v/>
      </c>
      <c r="L159" s="32" t="str">
        <f t="array" ref="L159">IF(C159="","",IF(ISNA(MATCH(C159,'상품표'!$A$4:$A$18,0)),"상품명 확인",IF(H159="","수량 입력",IF(FALSE,"",IF(INDEX('상품표'!$B$4:$B$18,MATCH(C159,'상품표'!$A$4:$A$18,0))="의류",IF(D159="","사이즈 선택",IF(AND(LEFT(C159,4)="후드집업",OR(D159="XXS",D159="XS")),"후드는 S부터",IF(COUNTA(E159:G159)&gt;0,"세트 옵션은 세트만","OK"))),IF(INDEX('상품표'!$B$4:$B$18,MATCH(C159,'상품표'!$A$4:$A$18,0))="세트",IF(COUNTA(E159:G159)&lt;3,"세트 옵션 선택",IF(D159&lt;&gt;"","사이즈 불필요","OK")),IF(COUNTA(E159:G159)&gt;0,"세트 옵션은 세트만",IF(D159&lt;&gt;"","사이즈 불필요","OK"))))))))</f>
        <v/>
      </c>
      <c r="M159" s="44"/>
      <c r="N159" s="45"/>
    </row>
    <row r="160" ht="15.75" customHeight="1">
      <c r="A160" s="32">
        <v>155.0</v>
      </c>
      <c r="B160" s="33"/>
      <c r="C160" s="33"/>
      <c r="D160" s="33"/>
      <c r="E160" s="33"/>
      <c r="F160" s="33"/>
      <c r="G160" s="33"/>
      <c r="H160" s="33"/>
      <c r="I160" s="20" t="str">
        <f t="array" ref="I160">IF(C160="","",IFERROR(INDEX('상품표'!$C$4:$C$18,MATCH(C160,'상품표'!$A$4:$A$18,0)),""))</f>
        <v/>
      </c>
      <c r="J160" s="20" t="str">
        <f>IF(I160="","",ROUND(I160*(1-'상품표'!$G$4),0))</f>
        <v/>
      </c>
      <c r="K160" s="20" t="str">
        <f t="shared" si="1"/>
        <v/>
      </c>
      <c r="L160" s="32" t="str">
        <f t="array" ref="L160">IF(C160="","",IF(ISNA(MATCH(C160,'상품표'!$A$4:$A$18,0)),"상품명 확인",IF(H160="","수량 입력",IF(FALSE,"",IF(INDEX('상품표'!$B$4:$B$18,MATCH(C160,'상품표'!$A$4:$A$18,0))="의류",IF(D160="","사이즈 선택",IF(AND(LEFT(C160,4)="후드집업",OR(D160="XXS",D160="XS")),"후드는 S부터",IF(COUNTA(E160:G160)&gt;0,"세트 옵션은 세트만","OK"))),IF(INDEX('상품표'!$B$4:$B$18,MATCH(C160,'상품표'!$A$4:$A$18,0))="세트",IF(COUNTA(E160:G160)&lt;3,"세트 옵션 선택",IF(D160&lt;&gt;"","사이즈 불필요","OK")),IF(COUNTA(E160:G160)&gt;0,"세트 옵션은 세트만",IF(D160&lt;&gt;"","사이즈 불필요","OK"))))))))</f>
        <v/>
      </c>
      <c r="M160" s="44"/>
      <c r="N160" s="45"/>
    </row>
    <row r="161" ht="15.75" customHeight="1">
      <c r="A161" s="32">
        <v>156.0</v>
      </c>
      <c r="B161" s="33"/>
      <c r="C161" s="33"/>
      <c r="D161" s="33"/>
      <c r="E161" s="33"/>
      <c r="F161" s="33"/>
      <c r="G161" s="33"/>
      <c r="H161" s="33"/>
      <c r="I161" s="20" t="str">
        <f t="array" ref="I161">IF(C161="","",IFERROR(INDEX('상품표'!$C$4:$C$18,MATCH(C161,'상품표'!$A$4:$A$18,0)),""))</f>
        <v/>
      </c>
      <c r="J161" s="20" t="str">
        <f>IF(I161="","",ROUND(I161*(1-'상품표'!$G$4),0))</f>
        <v/>
      </c>
      <c r="K161" s="20" t="str">
        <f t="shared" si="1"/>
        <v/>
      </c>
      <c r="L161" s="32" t="str">
        <f t="array" ref="L161">IF(C161="","",IF(ISNA(MATCH(C161,'상품표'!$A$4:$A$18,0)),"상품명 확인",IF(H161="","수량 입력",IF(FALSE,"",IF(INDEX('상품표'!$B$4:$B$18,MATCH(C161,'상품표'!$A$4:$A$18,0))="의류",IF(D161="","사이즈 선택",IF(AND(LEFT(C161,4)="후드집업",OR(D161="XXS",D161="XS")),"후드는 S부터",IF(COUNTA(E161:G161)&gt;0,"세트 옵션은 세트만","OK"))),IF(INDEX('상품표'!$B$4:$B$18,MATCH(C161,'상품표'!$A$4:$A$18,0))="세트",IF(COUNTA(E161:G161)&lt;3,"세트 옵션 선택",IF(D161&lt;&gt;"","사이즈 불필요","OK")),IF(COUNTA(E161:G161)&gt;0,"세트 옵션은 세트만",IF(D161&lt;&gt;"","사이즈 불필요","OK"))))))))</f>
        <v/>
      </c>
      <c r="M161" s="44"/>
      <c r="N161" s="45"/>
    </row>
    <row r="162" ht="15.75" customHeight="1">
      <c r="A162" s="32">
        <v>157.0</v>
      </c>
      <c r="B162" s="33"/>
      <c r="C162" s="33"/>
      <c r="D162" s="33"/>
      <c r="E162" s="33"/>
      <c r="F162" s="33"/>
      <c r="G162" s="33"/>
      <c r="H162" s="33"/>
      <c r="I162" s="20" t="str">
        <f t="array" ref="I162">IF(C162="","",IFERROR(INDEX('상품표'!$C$4:$C$18,MATCH(C162,'상품표'!$A$4:$A$18,0)),""))</f>
        <v/>
      </c>
      <c r="J162" s="20" t="str">
        <f>IF(I162="","",ROUND(I162*(1-'상품표'!$G$4),0))</f>
        <v/>
      </c>
      <c r="K162" s="20" t="str">
        <f t="shared" si="1"/>
        <v/>
      </c>
      <c r="L162" s="32" t="str">
        <f t="array" ref="L162">IF(C162="","",IF(ISNA(MATCH(C162,'상품표'!$A$4:$A$18,0)),"상품명 확인",IF(H162="","수량 입력",IF(FALSE,"",IF(INDEX('상품표'!$B$4:$B$18,MATCH(C162,'상품표'!$A$4:$A$18,0))="의류",IF(D162="","사이즈 선택",IF(AND(LEFT(C162,4)="후드집업",OR(D162="XXS",D162="XS")),"후드는 S부터",IF(COUNTA(E162:G162)&gt;0,"세트 옵션은 세트만","OK"))),IF(INDEX('상품표'!$B$4:$B$18,MATCH(C162,'상품표'!$A$4:$A$18,0))="세트",IF(COUNTA(E162:G162)&lt;3,"세트 옵션 선택",IF(D162&lt;&gt;"","사이즈 불필요","OK")),IF(COUNTA(E162:G162)&gt;0,"세트 옵션은 세트만",IF(D162&lt;&gt;"","사이즈 불필요","OK"))))))))</f>
        <v/>
      </c>
      <c r="M162" s="44"/>
      <c r="N162" s="45"/>
    </row>
    <row r="163" ht="15.75" customHeight="1">
      <c r="A163" s="32">
        <v>158.0</v>
      </c>
      <c r="B163" s="33"/>
      <c r="C163" s="33"/>
      <c r="D163" s="33"/>
      <c r="E163" s="33"/>
      <c r="F163" s="33"/>
      <c r="G163" s="33"/>
      <c r="H163" s="33"/>
      <c r="I163" s="20" t="str">
        <f t="array" ref="I163">IF(C163="","",IFERROR(INDEX('상품표'!$C$4:$C$18,MATCH(C163,'상품표'!$A$4:$A$18,0)),""))</f>
        <v/>
      </c>
      <c r="J163" s="20" t="str">
        <f>IF(I163="","",ROUND(I163*(1-'상품표'!$G$4),0))</f>
        <v/>
      </c>
      <c r="K163" s="20" t="str">
        <f t="shared" si="1"/>
        <v/>
      </c>
      <c r="L163" s="32" t="str">
        <f t="array" ref="L163">IF(C163="","",IF(ISNA(MATCH(C163,'상품표'!$A$4:$A$18,0)),"상품명 확인",IF(H163="","수량 입력",IF(FALSE,"",IF(INDEX('상품표'!$B$4:$B$18,MATCH(C163,'상품표'!$A$4:$A$18,0))="의류",IF(D163="","사이즈 선택",IF(AND(LEFT(C163,4)="후드집업",OR(D163="XXS",D163="XS")),"후드는 S부터",IF(COUNTA(E163:G163)&gt;0,"세트 옵션은 세트만","OK"))),IF(INDEX('상품표'!$B$4:$B$18,MATCH(C163,'상품표'!$A$4:$A$18,0))="세트",IF(COUNTA(E163:G163)&lt;3,"세트 옵션 선택",IF(D163&lt;&gt;"","사이즈 불필요","OK")),IF(COUNTA(E163:G163)&gt;0,"세트 옵션은 세트만",IF(D163&lt;&gt;"","사이즈 불필요","OK"))))))))</f>
        <v/>
      </c>
      <c r="M163" s="44"/>
      <c r="N163" s="45"/>
    </row>
    <row r="164" ht="15.75" customHeight="1">
      <c r="A164" s="32">
        <v>159.0</v>
      </c>
      <c r="B164" s="33"/>
      <c r="C164" s="33"/>
      <c r="D164" s="33"/>
      <c r="E164" s="33"/>
      <c r="F164" s="33"/>
      <c r="G164" s="33"/>
      <c r="H164" s="33"/>
      <c r="I164" s="20" t="str">
        <f t="array" ref="I164">IF(C164="","",IFERROR(INDEX('상품표'!$C$4:$C$18,MATCH(C164,'상품표'!$A$4:$A$18,0)),""))</f>
        <v/>
      </c>
      <c r="J164" s="20" t="str">
        <f>IF(I164="","",ROUND(I164*(1-'상품표'!$G$4),0))</f>
        <v/>
      </c>
      <c r="K164" s="20" t="str">
        <f t="shared" si="1"/>
        <v/>
      </c>
      <c r="L164" s="32" t="str">
        <f t="array" ref="L164">IF(C164="","",IF(ISNA(MATCH(C164,'상품표'!$A$4:$A$18,0)),"상품명 확인",IF(H164="","수량 입력",IF(FALSE,"",IF(INDEX('상품표'!$B$4:$B$18,MATCH(C164,'상품표'!$A$4:$A$18,0))="의류",IF(D164="","사이즈 선택",IF(AND(LEFT(C164,4)="후드집업",OR(D164="XXS",D164="XS")),"후드는 S부터",IF(COUNTA(E164:G164)&gt;0,"세트 옵션은 세트만","OK"))),IF(INDEX('상품표'!$B$4:$B$18,MATCH(C164,'상품표'!$A$4:$A$18,0))="세트",IF(COUNTA(E164:G164)&lt;3,"세트 옵션 선택",IF(D164&lt;&gt;"","사이즈 불필요","OK")),IF(COUNTA(E164:G164)&gt;0,"세트 옵션은 세트만",IF(D164&lt;&gt;"","사이즈 불필요","OK"))))))))</f>
        <v/>
      </c>
      <c r="M164" s="44"/>
      <c r="N164" s="45"/>
    </row>
    <row r="165" ht="15.75" customHeight="1">
      <c r="A165" s="32">
        <v>160.0</v>
      </c>
      <c r="B165" s="33"/>
      <c r="C165" s="33"/>
      <c r="D165" s="33"/>
      <c r="E165" s="33"/>
      <c r="F165" s="33"/>
      <c r="G165" s="33"/>
      <c r="H165" s="33"/>
      <c r="I165" s="20" t="str">
        <f t="array" ref="I165">IF(C165="","",IFERROR(INDEX('상품표'!$C$4:$C$18,MATCH(C165,'상품표'!$A$4:$A$18,0)),""))</f>
        <v/>
      </c>
      <c r="J165" s="20" t="str">
        <f>IF(I165="","",ROUND(I165*(1-'상품표'!$G$4),0))</f>
        <v/>
      </c>
      <c r="K165" s="20" t="str">
        <f t="shared" si="1"/>
        <v/>
      </c>
      <c r="L165" s="32" t="str">
        <f t="array" ref="L165">IF(C165="","",IF(ISNA(MATCH(C165,'상품표'!$A$4:$A$18,0)),"상품명 확인",IF(H165="","수량 입력",IF(FALSE,"",IF(INDEX('상품표'!$B$4:$B$18,MATCH(C165,'상품표'!$A$4:$A$18,0))="의류",IF(D165="","사이즈 선택",IF(AND(LEFT(C165,4)="후드집업",OR(D165="XXS",D165="XS")),"후드는 S부터",IF(COUNTA(E165:G165)&gt;0,"세트 옵션은 세트만","OK"))),IF(INDEX('상품표'!$B$4:$B$18,MATCH(C165,'상품표'!$A$4:$A$18,0))="세트",IF(COUNTA(E165:G165)&lt;3,"세트 옵션 선택",IF(D165&lt;&gt;"","사이즈 불필요","OK")),IF(COUNTA(E165:G165)&gt;0,"세트 옵션은 세트만",IF(D165&lt;&gt;"","사이즈 불필요","OK"))))))))</f>
        <v/>
      </c>
      <c r="M165" s="44"/>
      <c r="N165" s="45"/>
    </row>
    <row r="166" ht="15.75" customHeight="1">
      <c r="A166" s="32">
        <v>161.0</v>
      </c>
      <c r="B166" s="33"/>
      <c r="C166" s="33"/>
      <c r="D166" s="33"/>
      <c r="E166" s="33"/>
      <c r="F166" s="33"/>
      <c r="G166" s="33"/>
      <c r="H166" s="33"/>
      <c r="I166" s="20" t="str">
        <f t="array" ref="I166">IF(C166="","",IFERROR(INDEX('상품표'!$C$4:$C$18,MATCH(C166,'상품표'!$A$4:$A$18,0)),""))</f>
        <v/>
      </c>
      <c r="J166" s="20" t="str">
        <f>IF(I166="","",ROUND(I166*(1-'상품표'!$G$4),0))</f>
        <v/>
      </c>
      <c r="K166" s="20" t="str">
        <f t="shared" si="1"/>
        <v/>
      </c>
      <c r="L166" s="32" t="str">
        <f t="array" ref="L166">IF(C166="","",IF(ISNA(MATCH(C166,'상품표'!$A$4:$A$18,0)),"상품명 확인",IF(H166="","수량 입력",IF(FALSE,"",IF(INDEX('상품표'!$B$4:$B$18,MATCH(C166,'상품표'!$A$4:$A$18,0))="의류",IF(D166="","사이즈 선택",IF(AND(LEFT(C166,4)="후드집업",OR(D166="XXS",D166="XS")),"후드는 S부터",IF(COUNTA(E166:G166)&gt;0,"세트 옵션은 세트만","OK"))),IF(INDEX('상품표'!$B$4:$B$18,MATCH(C166,'상품표'!$A$4:$A$18,0))="세트",IF(COUNTA(E166:G166)&lt;3,"세트 옵션 선택",IF(D166&lt;&gt;"","사이즈 불필요","OK")),IF(COUNTA(E166:G166)&gt;0,"세트 옵션은 세트만",IF(D166&lt;&gt;"","사이즈 불필요","OK"))))))))</f>
        <v/>
      </c>
      <c r="M166" s="44"/>
      <c r="N166" s="45"/>
    </row>
    <row r="167" ht="15.75" customHeight="1">
      <c r="A167" s="32">
        <v>162.0</v>
      </c>
      <c r="B167" s="33"/>
      <c r="C167" s="33"/>
      <c r="D167" s="33"/>
      <c r="E167" s="33"/>
      <c r="F167" s="33"/>
      <c r="G167" s="33"/>
      <c r="H167" s="33"/>
      <c r="I167" s="20" t="str">
        <f t="array" ref="I167">IF(C167="","",IFERROR(INDEX('상품표'!$C$4:$C$18,MATCH(C167,'상품표'!$A$4:$A$18,0)),""))</f>
        <v/>
      </c>
      <c r="J167" s="20" t="str">
        <f>IF(I167="","",ROUND(I167*(1-'상품표'!$G$4),0))</f>
        <v/>
      </c>
      <c r="K167" s="20" t="str">
        <f t="shared" si="1"/>
        <v/>
      </c>
      <c r="L167" s="32" t="str">
        <f t="array" ref="L167">IF(C167="","",IF(ISNA(MATCH(C167,'상품표'!$A$4:$A$18,0)),"상품명 확인",IF(H167="","수량 입력",IF(FALSE,"",IF(INDEX('상품표'!$B$4:$B$18,MATCH(C167,'상품표'!$A$4:$A$18,0))="의류",IF(D167="","사이즈 선택",IF(AND(LEFT(C167,4)="후드집업",OR(D167="XXS",D167="XS")),"후드는 S부터",IF(COUNTA(E167:G167)&gt;0,"세트 옵션은 세트만","OK"))),IF(INDEX('상품표'!$B$4:$B$18,MATCH(C167,'상품표'!$A$4:$A$18,0))="세트",IF(COUNTA(E167:G167)&lt;3,"세트 옵션 선택",IF(D167&lt;&gt;"","사이즈 불필요","OK")),IF(COUNTA(E167:G167)&gt;0,"세트 옵션은 세트만",IF(D167&lt;&gt;"","사이즈 불필요","OK"))))))))</f>
        <v/>
      </c>
      <c r="M167" s="44"/>
      <c r="N167" s="45"/>
    </row>
    <row r="168" ht="15.75" customHeight="1">
      <c r="A168" s="32">
        <v>163.0</v>
      </c>
      <c r="B168" s="33"/>
      <c r="C168" s="33"/>
      <c r="D168" s="33"/>
      <c r="E168" s="33"/>
      <c r="F168" s="33"/>
      <c r="G168" s="33"/>
      <c r="H168" s="33"/>
      <c r="I168" s="20" t="str">
        <f t="array" ref="I168">IF(C168="","",IFERROR(INDEX('상품표'!$C$4:$C$18,MATCH(C168,'상품표'!$A$4:$A$18,0)),""))</f>
        <v/>
      </c>
      <c r="J168" s="20" t="str">
        <f>IF(I168="","",ROUND(I168*(1-'상품표'!$G$4),0))</f>
        <v/>
      </c>
      <c r="K168" s="20" t="str">
        <f t="shared" si="1"/>
        <v/>
      </c>
      <c r="L168" s="32" t="str">
        <f t="array" ref="L168">IF(C168="","",IF(ISNA(MATCH(C168,'상품표'!$A$4:$A$18,0)),"상품명 확인",IF(H168="","수량 입력",IF(FALSE,"",IF(INDEX('상품표'!$B$4:$B$18,MATCH(C168,'상품표'!$A$4:$A$18,0))="의류",IF(D168="","사이즈 선택",IF(AND(LEFT(C168,4)="후드집업",OR(D168="XXS",D168="XS")),"후드는 S부터",IF(COUNTA(E168:G168)&gt;0,"세트 옵션은 세트만","OK"))),IF(INDEX('상품표'!$B$4:$B$18,MATCH(C168,'상품표'!$A$4:$A$18,0))="세트",IF(COUNTA(E168:G168)&lt;3,"세트 옵션 선택",IF(D168&lt;&gt;"","사이즈 불필요","OK")),IF(COUNTA(E168:G168)&gt;0,"세트 옵션은 세트만",IF(D168&lt;&gt;"","사이즈 불필요","OK"))))))))</f>
        <v/>
      </c>
      <c r="M168" s="44"/>
      <c r="N168" s="45"/>
    </row>
    <row r="169" ht="15.75" customHeight="1">
      <c r="A169" s="32">
        <v>164.0</v>
      </c>
      <c r="B169" s="33"/>
      <c r="C169" s="33"/>
      <c r="D169" s="33"/>
      <c r="E169" s="33"/>
      <c r="F169" s="33"/>
      <c r="G169" s="33"/>
      <c r="H169" s="33"/>
      <c r="I169" s="20" t="str">
        <f t="array" ref="I169">IF(C169="","",IFERROR(INDEX('상품표'!$C$4:$C$18,MATCH(C169,'상품표'!$A$4:$A$18,0)),""))</f>
        <v/>
      </c>
      <c r="J169" s="20" t="str">
        <f>IF(I169="","",ROUND(I169*(1-'상품표'!$G$4),0))</f>
        <v/>
      </c>
      <c r="K169" s="20" t="str">
        <f t="shared" si="1"/>
        <v/>
      </c>
      <c r="L169" s="32" t="str">
        <f t="array" ref="L169">IF(C169="","",IF(ISNA(MATCH(C169,'상품표'!$A$4:$A$18,0)),"상품명 확인",IF(H169="","수량 입력",IF(FALSE,"",IF(INDEX('상품표'!$B$4:$B$18,MATCH(C169,'상품표'!$A$4:$A$18,0))="의류",IF(D169="","사이즈 선택",IF(AND(LEFT(C169,4)="후드집업",OR(D169="XXS",D169="XS")),"후드는 S부터",IF(COUNTA(E169:G169)&gt;0,"세트 옵션은 세트만","OK"))),IF(INDEX('상품표'!$B$4:$B$18,MATCH(C169,'상품표'!$A$4:$A$18,0))="세트",IF(COUNTA(E169:G169)&lt;3,"세트 옵션 선택",IF(D169&lt;&gt;"","사이즈 불필요","OK")),IF(COUNTA(E169:G169)&gt;0,"세트 옵션은 세트만",IF(D169&lt;&gt;"","사이즈 불필요","OK"))))))))</f>
        <v/>
      </c>
      <c r="M169" s="44"/>
      <c r="N169" s="45"/>
    </row>
    <row r="170" ht="15.75" customHeight="1">
      <c r="A170" s="32">
        <v>165.0</v>
      </c>
      <c r="B170" s="33"/>
      <c r="C170" s="33"/>
      <c r="D170" s="33"/>
      <c r="E170" s="33"/>
      <c r="F170" s="33"/>
      <c r="G170" s="33"/>
      <c r="H170" s="33"/>
      <c r="I170" s="20" t="str">
        <f t="array" ref="I170">IF(C170="","",IFERROR(INDEX('상품표'!$C$4:$C$18,MATCH(C170,'상품표'!$A$4:$A$18,0)),""))</f>
        <v/>
      </c>
      <c r="J170" s="20" t="str">
        <f>IF(I170="","",ROUND(I170*(1-'상품표'!$G$4),0))</f>
        <v/>
      </c>
      <c r="K170" s="20" t="str">
        <f t="shared" si="1"/>
        <v/>
      </c>
      <c r="L170" s="32" t="str">
        <f t="array" ref="L170">IF(C170="","",IF(ISNA(MATCH(C170,'상품표'!$A$4:$A$18,0)),"상품명 확인",IF(H170="","수량 입력",IF(FALSE,"",IF(INDEX('상품표'!$B$4:$B$18,MATCH(C170,'상품표'!$A$4:$A$18,0))="의류",IF(D170="","사이즈 선택",IF(AND(LEFT(C170,4)="후드집업",OR(D170="XXS",D170="XS")),"후드는 S부터",IF(COUNTA(E170:G170)&gt;0,"세트 옵션은 세트만","OK"))),IF(INDEX('상품표'!$B$4:$B$18,MATCH(C170,'상품표'!$A$4:$A$18,0))="세트",IF(COUNTA(E170:G170)&lt;3,"세트 옵션 선택",IF(D170&lt;&gt;"","사이즈 불필요","OK")),IF(COUNTA(E170:G170)&gt;0,"세트 옵션은 세트만",IF(D170&lt;&gt;"","사이즈 불필요","OK"))))))))</f>
        <v/>
      </c>
      <c r="M170" s="44"/>
      <c r="N170" s="45"/>
    </row>
    <row r="171" ht="15.75" customHeight="1">
      <c r="A171" s="32">
        <v>166.0</v>
      </c>
      <c r="B171" s="33"/>
      <c r="C171" s="33"/>
      <c r="D171" s="33"/>
      <c r="E171" s="33"/>
      <c r="F171" s="33"/>
      <c r="G171" s="33"/>
      <c r="H171" s="33"/>
      <c r="I171" s="20" t="str">
        <f t="array" ref="I171">IF(C171="","",IFERROR(INDEX('상품표'!$C$4:$C$18,MATCH(C171,'상품표'!$A$4:$A$18,0)),""))</f>
        <v/>
      </c>
      <c r="J171" s="20" t="str">
        <f>IF(I171="","",ROUND(I171*(1-'상품표'!$G$4),0))</f>
        <v/>
      </c>
      <c r="K171" s="20" t="str">
        <f t="shared" si="1"/>
        <v/>
      </c>
      <c r="L171" s="32" t="str">
        <f t="array" ref="L171">IF(C171="","",IF(ISNA(MATCH(C171,'상품표'!$A$4:$A$18,0)),"상품명 확인",IF(H171="","수량 입력",IF(FALSE,"",IF(INDEX('상품표'!$B$4:$B$18,MATCH(C171,'상품표'!$A$4:$A$18,0))="의류",IF(D171="","사이즈 선택",IF(AND(LEFT(C171,4)="후드집업",OR(D171="XXS",D171="XS")),"후드는 S부터",IF(COUNTA(E171:G171)&gt;0,"세트 옵션은 세트만","OK"))),IF(INDEX('상품표'!$B$4:$B$18,MATCH(C171,'상품표'!$A$4:$A$18,0))="세트",IF(COUNTA(E171:G171)&lt;3,"세트 옵션 선택",IF(D171&lt;&gt;"","사이즈 불필요","OK")),IF(COUNTA(E171:G171)&gt;0,"세트 옵션은 세트만",IF(D171&lt;&gt;"","사이즈 불필요","OK"))))))))</f>
        <v/>
      </c>
      <c r="M171" s="44"/>
      <c r="N171" s="45"/>
    </row>
    <row r="172" ht="15.75" customHeight="1">
      <c r="A172" s="32">
        <v>167.0</v>
      </c>
      <c r="B172" s="33"/>
      <c r="C172" s="33"/>
      <c r="D172" s="33"/>
      <c r="E172" s="33"/>
      <c r="F172" s="33"/>
      <c r="G172" s="33"/>
      <c r="H172" s="33"/>
      <c r="I172" s="20" t="str">
        <f t="array" ref="I172">IF(C172="","",IFERROR(INDEX('상품표'!$C$4:$C$18,MATCH(C172,'상품표'!$A$4:$A$18,0)),""))</f>
        <v/>
      </c>
      <c r="J172" s="20" t="str">
        <f>IF(I172="","",ROUND(I172*(1-'상품표'!$G$4),0))</f>
        <v/>
      </c>
      <c r="K172" s="20" t="str">
        <f t="shared" si="1"/>
        <v/>
      </c>
      <c r="L172" s="32" t="str">
        <f t="array" ref="L172">IF(C172="","",IF(ISNA(MATCH(C172,'상품표'!$A$4:$A$18,0)),"상품명 확인",IF(H172="","수량 입력",IF(FALSE,"",IF(INDEX('상품표'!$B$4:$B$18,MATCH(C172,'상품표'!$A$4:$A$18,0))="의류",IF(D172="","사이즈 선택",IF(AND(LEFT(C172,4)="후드집업",OR(D172="XXS",D172="XS")),"후드는 S부터",IF(COUNTA(E172:G172)&gt;0,"세트 옵션은 세트만","OK"))),IF(INDEX('상품표'!$B$4:$B$18,MATCH(C172,'상품표'!$A$4:$A$18,0))="세트",IF(COUNTA(E172:G172)&lt;3,"세트 옵션 선택",IF(D172&lt;&gt;"","사이즈 불필요","OK")),IF(COUNTA(E172:G172)&gt;0,"세트 옵션은 세트만",IF(D172&lt;&gt;"","사이즈 불필요","OK"))))))))</f>
        <v/>
      </c>
      <c r="M172" s="44"/>
      <c r="N172" s="45"/>
    </row>
    <row r="173" ht="15.75" customHeight="1">
      <c r="A173" s="32">
        <v>168.0</v>
      </c>
      <c r="B173" s="33"/>
      <c r="C173" s="33"/>
      <c r="D173" s="33"/>
      <c r="E173" s="33"/>
      <c r="F173" s="33"/>
      <c r="G173" s="33"/>
      <c r="H173" s="33"/>
      <c r="I173" s="20" t="str">
        <f t="array" ref="I173">IF(C173="","",IFERROR(INDEX('상품표'!$C$4:$C$18,MATCH(C173,'상품표'!$A$4:$A$18,0)),""))</f>
        <v/>
      </c>
      <c r="J173" s="20" t="str">
        <f>IF(I173="","",ROUND(I173*(1-'상품표'!$G$4),0))</f>
        <v/>
      </c>
      <c r="K173" s="20" t="str">
        <f t="shared" si="1"/>
        <v/>
      </c>
      <c r="L173" s="32" t="str">
        <f t="array" ref="L173">IF(C173="","",IF(ISNA(MATCH(C173,'상품표'!$A$4:$A$18,0)),"상품명 확인",IF(H173="","수량 입력",IF(FALSE,"",IF(INDEX('상품표'!$B$4:$B$18,MATCH(C173,'상품표'!$A$4:$A$18,0))="의류",IF(D173="","사이즈 선택",IF(AND(LEFT(C173,4)="후드집업",OR(D173="XXS",D173="XS")),"후드는 S부터",IF(COUNTA(E173:G173)&gt;0,"세트 옵션은 세트만","OK"))),IF(INDEX('상품표'!$B$4:$B$18,MATCH(C173,'상품표'!$A$4:$A$18,0))="세트",IF(COUNTA(E173:G173)&lt;3,"세트 옵션 선택",IF(D173&lt;&gt;"","사이즈 불필요","OK")),IF(COUNTA(E173:G173)&gt;0,"세트 옵션은 세트만",IF(D173&lt;&gt;"","사이즈 불필요","OK"))))))))</f>
        <v/>
      </c>
      <c r="M173" s="44"/>
      <c r="N173" s="45"/>
    </row>
    <row r="174" ht="15.75" customHeight="1">
      <c r="A174" s="32">
        <v>169.0</v>
      </c>
      <c r="B174" s="33"/>
      <c r="C174" s="33"/>
      <c r="D174" s="33"/>
      <c r="E174" s="33"/>
      <c r="F174" s="33"/>
      <c r="G174" s="33"/>
      <c r="H174" s="33"/>
      <c r="I174" s="20" t="str">
        <f t="array" ref="I174">IF(C174="","",IFERROR(INDEX('상품표'!$C$4:$C$18,MATCH(C174,'상품표'!$A$4:$A$18,0)),""))</f>
        <v/>
      </c>
      <c r="J174" s="20" t="str">
        <f>IF(I174="","",ROUND(I174*(1-'상품표'!$G$4),0))</f>
        <v/>
      </c>
      <c r="K174" s="20" t="str">
        <f t="shared" si="1"/>
        <v/>
      </c>
      <c r="L174" s="32" t="str">
        <f t="array" ref="L174">IF(C174="","",IF(ISNA(MATCH(C174,'상품표'!$A$4:$A$18,0)),"상품명 확인",IF(H174="","수량 입력",IF(FALSE,"",IF(INDEX('상품표'!$B$4:$B$18,MATCH(C174,'상품표'!$A$4:$A$18,0))="의류",IF(D174="","사이즈 선택",IF(AND(LEFT(C174,4)="후드집업",OR(D174="XXS",D174="XS")),"후드는 S부터",IF(COUNTA(E174:G174)&gt;0,"세트 옵션은 세트만","OK"))),IF(INDEX('상품표'!$B$4:$B$18,MATCH(C174,'상품표'!$A$4:$A$18,0))="세트",IF(COUNTA(E174:G174)&lt;3,"세트 옵션 선택",IF(D174&lt;&gt;"","사이즈 불필요","OK")),IF(COUNTA(E174:G174)&gt;0,"세트 옵션은 세트만",IF(D174&lt;&gt;"","사이즈 불필요","OK"))))))))</f>
        <v/>
      </c>
      <c r="M174" s="44"/>
      <c r="N174" s="45"/>
    </row>
    <row r="175" ht="15.75" customHeight="1">
      <c r="A175" s="32">
        <v>170.0</v>
      </c>
      <c r="B175" s="33"/>
      <c r="C175" s="33"/>
      <c r="D175" s="33"/>
      <c r="E175" s="33"/>
      <c r="F175" s="33"/>
      <c r="G175" s="33"/>
      <c r="H175" s="33"/>
      <c r="I175" s="20" t="str">
        <f t="array" ref="I175">IF(C175="","",IFERROR(INDEX('상품표'!$C$4:$C$18,MATCH(C175,'상품표'!$A$4:$A$18,0)),""))</f>
        <v/>
      </c>
      <c r="J175" s="20" t="str">
        <f>IF(I175="","",ROUND(I175*(1-'상품표'!$G$4),0))</f>
        <v/>
      </c>
      <c r="K175" s="20" t="str">
        <f t="shared" si="1"/>
        <v/>
      </c>
      <c r="L175" s="32" t="str">
        <f t="array" ref="L175">IF(C175="","",IF(ISNA(MATCH(C175,'상품표'!$A$4:$A$18,0)),"상품명 확인",IF(H175="","수량 입력",IF(FALSE,"",IF(INDEX('상품표'!$B$4:$B$18,MATCH(C175,'상품표'!$A$4:$A$18,0))="의류",IF(D175="","사이즈 선택",IF(AND(LEFT(C175,4)="후드집업",OR(D175="XXS",D175="XS")),"후드는 S부터",IF(COUNTA(E175:G175)&gt;0,"세트 옵션은 세트만","OK"))),IF(INDEX('상품표'!$B$4:$B$18,MATCH(C175,'상품표'!$A$4:$A$18,0))="세트",IF(COUNTA(E175:G175)&lt;3,"세트 옵션 선택",IF(D175&lt;&gt;"","사이즈 불필요","OK")),IF(COUNTA(E175:G175)&gt;0,"세트 옵션은 세트만",IF(D175&lt;&gt;"","사이즈 불필요","OK"))))))))</f>
        <v/>
      </c>
      <c r="M175" s="44"/>
      <c r="N175" s="45"/>
    </row>
    <row r="176" ht="15.75" customHeight="1">
      <c r="A176" s="32">
        <v>171.0</v>
      </c>
      <c r="B176" s="33"/>
      <c r="C176" s="33"/>
      <c r="D176" s="33"/>
      <c r="E176" s="33"/>
      <c r="F176" s="33"/>
      <c r="G176" s="33"/>
      <c r="H176" s="33"/>
      <c r="I176" s="20" t="str">
        <f t="array" ref="I176">IF(C176="","",IFERROR(INDEX('상품표'!$C$4:$C$18,MATCH(C176,'상품표'!$A$4:$A$18,0)),""))</f>
        <v/>
      </c>
      <c r="J176" s="20" t="str">
        <f>IF(I176="","",ROUND(I176*(1-'상품표'!$G$4),0))</f>
        <v/>
      </c>
      <c r="K176" s="20" t="str">
        <f t="shared" si="1"/>
        <v/>
      </c>
      <c r="L176" s="32" t="str">
        <f t="array" ref="L176">IF(C176="","",IF(ISNA(MATCH(C176,'상품표'!$A$4:$A$18,0)),"상품명 확인",IF(H176="","수량 입력",IF(FALSE,"",IF(INDEX('상품표'!$B$4:$B$18,MATCH(C176,'상품표'!$A$4:$A$18,0))="의류",IF(D176="","사이즈 선택",IF(AND(LEFT(C176,4)="후드집업",OR(D176="XXS",D176="XS")),"후드는 S부터",IF(COUNTA(E176:G176)&gt;0,"세트 옵션은 세트만","OK"))),IF(INDEX('상품표'!$B$4:$B$18,MATCH(C176,'상품표'!$A$4:$A$18,0))="세트",IF(COUNTA(E176:G176)&lt;3,"세트 옵션 선택",IF(D176&lt;&gt;"","사이즈 불필요","OK")),IF(COUNTA(E176:G176)&gt;0,"세트 옵션은 세트만",IF(D176&lt;&gt;"","사이즈 불필요","OK"))))))))</f>
        <v/>
      </c>
      <c r="M176" s="44"/>
      <c r="N176" s="45"/>
    </row>
    <row r="177" ht="15.75" customHeight="1">
      <c r="A177" s="32">
        <v>172.0</v>
      </c>
      <c r="B177" s="33"/>
      <c r="C177" s="33"/>
      <c r="D177" s="33"/>
      <c r="E177" s="33"/>
      <c r="F177" s="33"/>
      <c r="G177" s="33"/>
      <c r="H177" s="33"/>
      <c r="I177" s="20" t="str">
        <f t="array" ref="I177">IF(C177="","",IFERROR(INDEX('상품표'!$C$4:$C$18,MATCH(C177,'상품표'!$A$4:$A$18,0)),""))</f>
        <v/>
      </c>
      <c r="J177" s="20" t="str">
        <f>IF(I177="","",ROUND(I177*(1-'상품표'!$G$4),0))</f>
        <v/>
      </c>
      <c r="K177" s="20" t="str">
        <f t="shared" si="1"/>
        <v/>
      </c>
      <c r="L177" s="32" t="str">
        <f t="array" ref="L177">IF(C177="","",IF(ISNA(MATCH(C177,'상품표'!$A$4:$A$18,0)),"상품명 확인",IF(H177="","수량 입력",IF(FALSE,"",IF(INDEX('상품표'!$B$4:$B$18,MATCH(C177,'상품표'!$A$4:$A$18,0))="의류",IF(D177="","사이즈 선택",IF(AND(LEFT(C177,4)="후드집업",OR(D177="XXS",D177="XS")),"후드는 S부터",IF(COUNTA(E177:G177)&gt;0,"세트 옵션은 세트만","OK"))),IF(INDEX('상품표'!$B$4:$B$18,MATCH(C177,'상품표'!$A$4:$A$18,0))="세트",IF(COUNTA(E177:G177)&lt;3,"세트 옵션 선택",IF(D177&lt;&gt;"","사이즈 불필요","OK")),IF(COUNTA(E177:G177)&gt;0,"세트 옵션은 세트만",IF(D177&lt;&gt;"","사이즈 불필요","OK"))))))))</f>
        <v/>
      </c>
      <c r="M177" s="44"/>
      <c r="N177" s="45"/>
    </row>
    <row r="178" ht="15.75" customHeight="1">
      <c r="A178" s="32">
        <v>173.0</v>
      </c>
      <c r="B178" s="33"/>
      <c r="C178" s="33"/>
      <c r="D178" s="33"/>
      <c r="E178" s="33"/>
      <c r="F178" s="33"/>
      <c r="G178" s="33"/>
      <c r="H178" s="33"/>
      <c r="I178" s="20" t="str">
        <f t="array" ref="I178">IF(C178="","",IFERROR(INDEX('상품표'!$C$4:$C$18,MATCH(C178,'상품표'!$A$4:$A$18,0)),""))</f>
        <v/>
      </c>
      <c r="J178" s="20" t="str">
        <f>IF(I178="","",ROUND(I178*(1-'상품표'!$G$4),0))</f>
        <v/>
      </c>
      <c r="K178" s="20" t="str">
        <f t="shared" si="1"/>
        <v/>
      </c>
      <c r="L178" s="32" t="str">
        <f t="array" ref="L178">IF(C178="","",IF(ISNA(MATCH(C178,'상품표'!$A$4:$A$18,0)),"상품명 확인",IF(H178="","수량 입력",IF(FALSE,"",IF(INDEX('상품표'!$B$4:$B$18,MATCH(C178,'상품표'!$A$4:$A$18,0))="의류",IF(D178="","사이즈 선택",IF(AND(LEFT(C178,4)="후드집업",OR(D178="XXS",D178="XS")),"후드는 S부터",IF(COUNTA(E178:G178)&gt;0,"세트 옵션은 세트만","OK"))),IF(INDEX('상품표'!$B$4:$B$18,MATCH(C178,'상품표'!$A$4:$A$18,0))="세트",IF(COUNTA(E178:G178)&lt;3,"세트 옵션 선택",IF(D178&lt;&gt;"","사이즈 불필요","OK")),IF(COUNTA(E178:G178)&gt;0,"세트 옵션은 세트만",IF(D178&lt;&gt;"","사이즈 불필요","OK"))))))))</f>
        <v/>
      </c>
      <c r="M178" s="44"/>
      <c r="N178" s="45"/>
    </row>
    <row r="179" ht="15.75" customHeight="1">
      <c r="A179" s="32">
        <v>174.0</v>
      </c>
      <c r="B179" s="33"/>
      <c r="C179" s="33"/>
      <c r="D179" s="33"/>
      <c r="E179" s="33"/>
      <c r="F179" s="33"/>
      <c r="G179" s="33"/>
      <c r="H179" s="33"/>
      <c r="I179" s="20" t="str">
        <f t="array" ref="I179">IF(C179="","",IFERROR(INDEX('상품표'!$C$4:$C$18,MATCH(C179,'상품표'!$A$4:$A$18,0)),""))</f>
        <v/>
      </c>
      <c r="J179" s="20" t="str">
        <f>IF(I179="","",ROUND(I179*(1-'상품표'!$G$4),0))</f>
        <v/>
      </c>
      <c r="K179" s="20" t="str">
        <f t="shared" si="1"/>
        <v/>
      </c>
      <c r="L179" s="32" t="str">
        <f t="array" ref="L179">IF(C179="","",IF(ISNA(MATCH(C179,'상품표'!$A$4:$A$18,0)),"상품명 확인",IF(H179="","수량 입력",IF(FALSE,"",IF(INDEX('상품표'!$B$4:$B$18,MATCH(C179,'상품표'!$A$4:$A$18,0))="의류",IF(D179="","사이즈 선택",IF(AND(LEFT(C179,4)="후드집업",OR(D179="XXS",D179="XS")),"후드는 S부터",IF(COUNTA(E179:G179)&gt;0,"세트 옵션은 세트만","OK"))),IF(INDEX('상품표'!$B$4:$B$18,MATCH(C179,'상품표'!$A$4:$A$18,0))="세트",IF(COUNTA(E179:G179)&lt;3,"세트 옵션 선택",IF(D179&lt;&gt;"","사이즈 불필요","OK")),IF(COUNTA(E179:G179)&gt;0,"세트 옵션은 세트만",IF(D179&lt;&gt;"","사이즈 불필요","OK"))))))))</f>
        <v/>
      </c>
      <c r="M179" s="44"/>
      <c r="N179" s="45"/>
    </row>
    <row r="180" ht="15.75" customHeight="1">
      <c r="A180" s="32">
        <v>175.0</v>
      </c>
      <c r="B180" s="33"/>
      <c r="C180" s="33"/>
      <c r="D180" s="33"/>
      <c r="E180" s="33"/>
      <c r="F180" s="33"/>
      <c r="G180" s="33"/>
      <c r="H180" s="33"/>
      <c r="I180" s="20" t="str">
        <f t="array" ref="I180">IF(C180="","",IFERROR(INDEX('상품표'!$C$4:$C$18,MATCH(C180,'상품표'!$A$4:$A$18,0)),""))</f>
        <v/>
      </c>
      <c r="J180" s="20" t="str">
        <f>IF(I180="","",ROUND(I180*(1-'상품표'!$G$4),0))</f>
        <v/>
      </c>
      <c r="K180" s="20" t="str">
        <f t="shared" si="1"/>
        <v/>
      </c>
      <c r="L180" s="32" t="str">
        <f t="array" ref="L180">IF(C180="","",IF(ISNA(MATCH(C180,'상품표'!$A$4:$A$18,0)),"상품명 확인",IF(H180="","수량 입력",IF(FALSE,"",IF(INDEX('상품표'!$B$4:$B$18,MATCH(C180,'상품표'!$A$4:$A$18,0))="의류",IF(D180="","사이즈 선택",IF(AND(LEFT(C180,4)="후드집업",OR(D180="XXS",D180="XS")),"후드는 S부터",IF(COUNTA(E180:G180)&gt;0,"세트 옵션은 세트만","OK"))),IF(INDEX('상품표'!$B$4:$B$18,MATCH(C180,'상품표'!$A$4:$A$18,0))="세트",IF(COUNTA(E180:G180)&lt;3,"세트 옵션 선택",IF(D180&lt;&gt;"","사이즈 불필요","OK")),IF(COUNTA(E180:G180)&gt;0,"세트 옵션은 세트만",IF(D180&lt;&gt;"","사이즈 불필요","OK"))))))))</f>
        <v/>
      </c>
      <c r="M180" s="44"/>
      <c r="N180" s="45"/>
    </row>
    <row r="181" ht="15.75" customHeight="1">
      <c r="A181" s="32">
        <v>176.0</v>
      </c>
      <c r="B181" s="33"/>
      <c r="C181" s="33"/>
      <c r="D181" s="33"/>
      <c r="E181" s="33"/>
      <c r="F181" s="33"/>
      <c r="G181" s="33"/>
      <c r="H181" s="33"/>
      <c r="I181" s="20" t="str">
        <f t="array" ref="I181">IF(C181="","",IFERROR(INDEX('상품표'!$C$4:$C$18,MATCH(C181,'상품표'!$A$4:$A$18,0)),""))</f>
        <v/>
      </c>
      <c r="J181" s="20" t="str">
        <f>IF(I181="","",ROUND(I181*(1-'상품표'!$G$4),0))</f>
        <v/>
      </c>
      <c r="K181" s="20" t="str">
        <f t="shared" si="1"/>
        <v/>
      </c>
      <c r="L181" s="32" t="str">
        <f t="array" ref="L181">IF(C181="","",IF(ISNA(MATCH(C181,'상품표'!$A$4:$A$18,0)),"상품명 확인",IF(H181="","수량 입력",IF(FALSE,"",IF(INDEX('상품표'!$B$4:$B$18,MATCH(C181,'상품표'!$A$4:$A$18,0))="의류",IF(D181="","사이즈 선택",IF(AND(LEFT(C181,4)="후드집업",OR(D181="XXS",D181="XS")),"후드는 S부터",IF(COUNTA(E181:G181)&gt;0,"세트 옵션은 세트만","OK"))),IF(INDEX('상품표'!$B$4:$B$18,MATCH(C181,'상품표'!$A$4:$A$18,0))="세트",IF(COUNTA(E181:G181)&lt;3,"세트 옵션 선택",IF(D181&lt;&gt;"","사이즈 불필요","OK")),IF(COUNTA(E181:G181)&gt;0,"세트 옵션은 세트만",IF(D181&lt;&gt;"","사이즈 불필요","OK"))))))))</f>
        <v/>
      </c>
      <c r="M181" s="44"/>
      <c r="N181" s="45"/>
    </row>
    <row r="182" ht="15.75" customHeight="1">
      <c r="A182" s="32">
        <v>177.0</v>
      </c>
      <c r="B182" s="33"/>
      <c r="C182" s="33"/>
      <c r="D182" s="33"/>
      <c r="E182" s="33"/>
      <c r="F182" s="33"/>
      <c r="G182" s="33"/>
      <c r="H182" s="33"/>
      <c r="I182" s="20" t="str">
        <f t="array" ref="I182">IF(C182="","",IFERROR(INDEX('상품표'!$C$4:$C$18,MATCH(C182,'상품표'!$A$4:$A$18,0)),""))</f>
        <v/>
      </c>
      <c r="J182" s="20" t="str">
        <f>IF(I182="","",ROUND(I182*(1-'상품표'!$G$4),0))</f>
        <v/>
      </c>
      <c r="K182" s="20" t="str">
        <f t="shared" si="1"/>
        <v/>
      </c>
      <c r="L182" s="32" t="str">
        <f t="array" ref="L182">IF(C182="","",IF(ISNA(MATCH(C182,'상품표'!$A$4:$A$18,0)),"상품명 확인",IF(H182="","수량 입력",IF(FALSE,"",IF(INDEX('상품표'!$B$4:$B$18,MATCH(C182,'상품표'!$A$4:$A$18,0))="의류",IF(D182="","사이즈 선택",IF(AND(LEFT(C182,4)="후드집업",OR(D182="XXS",D182="XS")),"후드는 S부터",IF(COUNTA(E182:G182)&gt;0,"세트 옵션은 세트만","OK"))),IF(INDEX('상품표'!$B$4:$B$18,MATCH(C182,'상품표'!$A$4:$A$18,0))="세트",IF(COUNTA(E182:G182)&lt;3,"세트 옵션 선택",IF(D182&lt;&gt;"","사이즈 불필요","OK")),IF(COUNTA(E182:G182)&gt;0,"세트 옵션은 세트만",IF(D182&lt;&gt;"","사이즈 불필요","OK"))))))))</f>
        <v/>
      </c>
      <c r="M182" s="44"/>
      <c r="N182" s="45"/>
    </row>
    <row r="183" ht="15.75" customHeight="1">
      <c r="A183" s="32">
        <v>178.0</v>
      </c>
      <c r="B183" s="33"/>
      <c r="C183" s="33"/>
      <c r="D183" s="33"/>
      <c r="E183" s="33"/>
      <c r="F183" s="33"/>
      <c r="G183" s="33"/>
      <c r="H183" s="33"/>
      <c r="I183" s="20" t="str">
        <f t="array" ref="I183">IF(C183="","",IFERROR(INDEX('상품표'!$C$4:$C$18,MATCH(C183,'상품표'!$A$4:$A$18,0)),""))</f>
        <v/>
      </c>
      <c r="J183" s="20" t="str">
        <f>IF(I183="","",ROUND(I183*(1-'상품표'!$G$4),0))</f>
        <v/>
      </c>
      <c r="K183" s="20" t="str">
        <f t="shared" si="1"/>
        <v/>
      </c>
      <c r="L183" s="32" t="str">
        <f t="array" ref="L183">IF(C183="","",IF(ISNA(MATCH(C183,'상품표'!$A$4:$A$18,0)),"상품명 확인",IF(H183="","수량 입력",IF(FALSE,"",IF(INDEX('상품표'!$B$4:$B$18,MATCH(C183,'상품표'!$A$4:$A$18,0))="의류",IF(D183="","사이즈 선택",IF(AND(LEFT(C183,4)="후드집업",OR(D183="XXS",D183="XS")),"후드는 S부터",IF(COUNTA(E183:G183)&gt;0,"세트 옵션은 세트만","OK"))),IF(INDEX('상품표'!$B$4:$B$18,MATCH(C183,'상품표'!$A$4:$A$18,0))="세트",IF(COUNTA(E183:G183)&lt;3,"세트 옵션 선택",IF(D183&lt;&gt;"","사이즈 불필요","OK")),IF(COUNTA(E183:G183)&gt;0,"세트 옵션은 세트만",IF(D183&lt;&gt;"","사이즈 불필요","OK"))))))))</f>
        <v/>
      </c>
      <c r="M183" s="44"/>
      <c r="N183" s="45"/>
    </row>
    <row r="184" ht="15.75" customHeight="1">
      <c r="A184" s="32">
        <v>179.0</v>
      </c>
      <c r="B184" s="33"/>
      <c r="C184" s="33"/>
      <c r="D184" s="33"/>
      <c r="E184" s="33"/>
      <c r="F184" s="33"/>
      <c r="G184" s="33"/>
      <c r="H184" s="33"/>
      <c r="I184" s="20" t="str">
        <f t="array" ref="I184">IF(C184="","",IFERROR(INDEX('상품표'!$C$4:$C$18,MATCH(C184,'상품표'!$A$4:$A$18,0)),""))</f>
        <v/>
      </c>
      <c r="J184" s="20" t="str">
        <f>IF(I184="","",ROUND(I184*(1-'상품표'!$G$4),0))</f>
        <v/>
      </c>
      <c r="K184" s="20" t="str">
        <f t="shared" si="1"/>
        <v/>
      </c>
      <c r="L184" s="32" t="str">
        <f t="array" ref="L184">IF(C184="","",IF(ISNA(MATCH(C184,'상품표'!$A$4:$A$18,0)),"상품명 확인",IF(H184="","수량 입력",IF(FALSE,"",IF(INDEX('상품표'!$B$4:$B$18,MATCH(C184,'상품표'!$A$4:$A$18,0))="의류",IF(D184="","사이즈 선택",IF(AND(LEFT(C184,4)="후드집업",OR(D184="XXS",D184="XS")),"후드는 S부터",IF(COUNTA(E184:G184)&gt;0,"세트 옵션은 세트만","OK"))),IF(INDEX('상품표'!$B$4:$B$18,MATCH(C184,'상품표'!$A$4:$A$18,0))="세트",IF(COUNTA(E184:G184)&lt;3,"세트 옵션 선택",IF(D184&lt;&gt;"","사이즈 불필요","OK")),IF(COUNTA(E184:G184)&gt;0,"세트 옵션은 세트만",IF(D184&lt;&gt;"","사이즈 불필요","OK"))))))))</f>
        <v/>
      </c>
      <c r="M184" s="44"/>
      <c r="N184" s="45"/>
    </row>
    <row r="185" ht="15.75" customHeight="1">
      <c r="A185" s="32">
        <v>180.0</v>
      </c>
      <c r="B185" s="33"/>
      <c r="C185" s="33"/>
      <c r="D185" s="33"/>
      <c r="E185" s="33"/>
      <c r="F185" s="33"/>
      <c r="G185" s="33"/>
      <c r="H185" s="33"/>
      <c r="I185" s="20" t="str">
        <f t="array" ref="I185">IF(C185="","",IFERROR(INDEX('상품표'!$C$4:$C$18,MATCH(C185,'상품표'!$A$4:$A$18,0)),""))</f>
        <v/>
      </c>
      <c r="J185" s="20" t="str">
        <f>IF(I185="","",ROUND(I185*(1-'상품표'!$G$4),0))</f>
        <v/>
      </c>
      <c r="K185" s="20" t="str">
        <f t="shared" si="1"/>
        <v/>
      </c>
      <c r="L185" s="32" t="str">
        <f t="array" ref="L185">IF(C185="","",IF(ISNA(MATCH(C185,'상품표'!$A$4:$A$18,0)),"상품명 확인",IF(H185="","수량 입력",IF(FALSE,"",IF(INDEX('상품표'!$B$4:$B$18,MATCH(C185,'상품표'!$A$4:$A$18,0))="의류",IF(D185="","사이즈 선택",IF(AND(LEFT(C185,4)="후드집업",OR(D185="XXS",D185="XS")),"후드는 S부터",IF(COUNTA(E185:G185)&gt;0,"세트 옵션은 세트만","OK"))),IF(INDEX('상품표'!$B$4:$B$18,MATCH(C185,'상품표'!$A$4:$A$18,0))="세트",IF(COUNTA(E185:G185)&lt;3,"세트 옵션 선택",IF(D185&lt;&gt;"","사이즈 불필요","OK")),IF(COUNTA(E185:G185)&gt;0,"세트 옵션은 세트만",IF(D185&lt;&gt;"","사이즈 불필요","OK"))))))))</f>
        <v/>
      </c>
      <c r="M185" s="44"/>
      <c r="N185" s="45"/>
    </row>
    <row r="186" ht="15.75" customHeight="1">
      <c r="A186" s="32">
        <v>181.0</v>
      </c>
      <c r="B186" s="33"/>
      <c r="C186" s="33"/>
      <c r="D186" s="33"/>
      <c r="E186" s="33"/>
      <c r="F186" s="33"/>
      <c r="G186" s="33"/>
      <c r="H186" s="33"/>
      <c r="I186" s="20" t="str">
        <f t="array" ref="I186">IF(C186="","",IFERROR(INDEX('상품표'!$C$4:$C$18,MATCH(C186,'상품표'!$A$4:$A$18,0)),""))</f>
        <v/>
      </c>
      <c r="J186" s="20" t="str">
        <f>IF(I186="","",ROUND(I186*(1-'상품표'!$G$4),0))</f>
        <v/>
      </c>
      <c r="K186" s="20" t="str">
        <f t="shared" si="1"/>
        <v/>
      </c>
      <c r="L186" s="32" t="str">
        <f t="array" ref="L186">IF(C186="","",IF(ISNA(MATCH(C186,'상품표'!$A$4:$A$18,0)),"상품명 확인",IF(H186="","수량 입력",IF(FALSE,"",IF(INDEX('상품표'!$B$4:$B$18,MATCH(C186,'상품표'!$A$4:$A$18,0))="의류",IF(D186="","사이즈 선택",IF(AND(LEFT(C186,4)="후드집업",OR(D186="XXS",D186="XS")),"후드는 S부터",IF(COUNTA(E186:G186)&gt;0,"세트 옵션은 세트만","OK"))),IF(INDEX('상품표'!$B$4:$B$18,MATCH(C186,'상품표'!$A$4:$A$18,0))="세트",IF(COUNTA(E186:G186)&lt;3,"세트 옵션 선택",IF(D186&lt;&gt;"","사이즈 불필요","OK")),IF(COUNTA(E186:G186)&gt;0,"세트 옵션은 세트만",IF(D186&lt;&gt;"","사이즈 불필요","OK"))))))))</f>
        <v/>
      </c>
      <c r="M186" s="44"/>
      <c r="N186" s="45"/>
    </row>
    <row r="187" ht="15.75" customHeight="1">
      <c r="A187" s="32">
        <v>182.0</v>
      </c>
      <c r="B187" s="33"/>
      <c r="C187" s="33"/>
      <c r="D187" s="33"/>
      <c r="E187" s="33"/>
      <c r="F187" s="33"/>
      <c r="G187" s="33"/>
      <c r="H187" s="33"/>
      <c r="I187" s="20" t="str">
        <f t="array" ref="I187">IF(C187="","",IFERROR(INDEX('상품표'!$C$4:$C$18,MATCH(C187,'상품표'!$A$4:$A$18,0)),""))</f>
        <v/>
      </c>
      <c r="J187" s="20" t="str">
        <f>IF(I187="","",ROUND(I187*(1-'상품표'!$G$4),0))</f>
        <v/>
      </c>
      <c r="K187" s="20" t="str">
        <f t="shared" si="1"/>
        <v/>
      </c>
      <c r="L187" s="32" t="str">
        <f t="array" ref="L187">IF(C187="","",IF(ISNA(MATCH(C187,'상품표'!$A$4:$A$18,0)),"상품명 확인",IF(H187="","수량 입력",IF(FALSE,"",IF(INDEX('상품표'!$B$4:$B$18,MATCH(C187,'상품표'!$A$4:$A$18,0))="의류",IF(D187="","사이즈 선택",IF(AND(LEFT(C187,4)="후드집업",OR(D187="XXS",D187="XS")),"후드는 S부터",IF(COUNTA(E187:G187)&gt;0,"세트 옵션은 세트만","OK"))),IF(INDEX('상품표'!$B$4:$B$18,MATCH(C187,'상품표'!$A$4:$A$18,0))="세트",IF(COUNTA(E187:G187)&lt;3,"세트 옵션 선택",IF(D187&lt;&gt;"","사이즈 불필요","OK")),IF(COUNTA(E187:G187)&gt;0,"세트 옵션은 세트만",IF(D187&lt;&gt;"","사이즈 불필요","OK"))))))))</f>
        <v/>
      </c>
      <c r="M187" s="44"/>
      <c r="N187" s="45"/>
    </row>
    <row r="188" ht="15.75" customHeight="1">
      <c r="A188" s="32">
        <v>183.0</v>
      </c>
      <c r="B188" s="33"/>
      <c r="C188" s="33"/>
      <c r="D188" s="33"/>
      <c r="E188" s="33"/>
      <c r="F188" s="33"/>
      <c r="G188" s="33"/>
      <c r="H188" s="33"/>
      <c r="I188" s="20" t="str">
        <f t="array" ref="I188">IF(C188="","",IFERROR(INDEX('상품표'!$C$4:$C$18,MATCH(C188,'상품표'!$A$4:$A$18,0)),""))</f>
        <v/>
      </c>
      <c r="J188" s="20" t="str">
        <f>IF(I188="","",ROUND(I188*(1-'상품표'!$G$4),0))</f>
        <v/>
      </c>
      <c r="K188" s="20" t="str">
        <f t="shared" si="1"/>
        <v/>
      </c>
      <c r="L188" s="32" t="str">
        <f t="array" ref="L188">IF(C188="","",IF(ISNA(MATCH(C188,'상품표'!$A$4:$A$18,0)),"상품명 확인",IF(H188="","수량 입력",IF(FALSE,"",IF(INDEX('상품표'!$B$4:$B$18,MATCH(C188,'상품표'!$A$4:$A$18,0))="의류",IF(D188="","사이즈 선택",IF(AND(LEFT(C188,4)="후드집업",OR(D188="XXS",D188="XS")),"후드는 S부터",IF(COUNTA(E188:G188)&gt;0,"세트 옵션은 세트만","OK"))),IF(INDEX('상품표'!$B$4:$B$18,MATCH(C188,'상품표'!$A$4:$A$18,0))="세트",IF(COUNTA(E188:G188)&lt;3,"세트 옵션 선택",IF(D188&lt;&gt;"","사이즈 불필요","OK")),IF(COUNTA(E188:G188)&gt;0,"세트 옵션은 세트만",IF(D188&lt;&gt;"","사이즈 불필요","OK"))))))))</f>
        <v/>
      </c>
      <c r="M188" s="44"/>
      <c r="N188" s="45"/>
    </row>
    <row r="189" ht="15.75" customHeight="1">
      <c r="A189" s="32">
        <v>184.0</v>
      </c>
      <c r="B189" s="33"/>
      <c r="C189" s="33"/>
      <c r="D189" s="33"/>
      <c r="E189" s="33"/>
      <c r="F189" s="33"/>
      <c r="G189" s="33"/>
      <c r="H189" s="33"/>
      <c r="I189" s="20" t="str">
        <f t="array" ref="I189">IF(C189="","",IFERROR(INDEX('상품표'!$C$4:$C$18,MATCH(C189,'상품표'!$A$4:$A$18,0)),""))</f>
        <v/>
      </c>
      <c r="J189" s="20" t="str">
        <f>IF(I189="","",ROUND(I189*(1-'상품표'!$G$4),0))</f>
        <v/>
      </c>
      <c r="K189" s="20" t="str">
        <f t="shared" si="1"/>
        <v/>
      </c>
      <c r="L189" s="32" t="str">
        <f t="array" ref="L189">IF(C189="","",IF(ISNA(MATCH(C189,'상품표'!$A$4:$A$18,0)),"상품명 확인",IF(H189="","수량 입력",IF(FALSE,"",IF(INDEX('상품표'!$B$4:$B$18,MATCH(C189,'상품표'!$A$4:$A$18,0))="의류",IF(D189="","사이즈 선택",IF(AND(LEFT(C189,4)="후드집업",OR(D189="XXS",D189="XS")),"후드는 S부터",IF(COUNTA(E189:G189)&gt;0,"세트 옵션은 세트만","OK"))),IF(INDEX('상품표'!$B$4:$B$18,MATCH(C189,'상품표'!$A$4:$A$18,0))="세트",IF(COUNTA(E189:G189)&lt;3,"세트 옵션 선택",IF(D189&lt;&gt;"","사이즈 불필요","OK")),IF(COUNTA(E189:G189)&gt;0,"세트 옵션은 세트만",IF(D189&lt;&gt;"","사이즈 불필요","OK"))))))))</f>
        <v/>
      </c>
      <c r="M189" s="44"/>
      <c r="N189" s="45"/>
    </row>
    <row r="190" ht="15.75" customHeight="1">
      <c r="A190" s="32">
        <v>185.0</v>
      </c>
      <c r="B190" s="33"/>
      <c r="C190" s="33"/>
      <c r="D190" s="33"/>
      <c r="E190" s="33"/>
      <c r="F190" s="33"/>
      <c r="G190" s="33"/>
      <c r="H190" s="33"/>
      <c r="I190" s="20" t="str">
        <f t="array" ref="I190">IF(C190="","",IFERROR(INDEX('상품표'!$C$4:$C$18,MATCH(C190,'상품표'!$A$4:$A$18,0)),""))</f>
        <v/>
      </c>
      <c r="J190" s="20" t="str">
        <f>IF(I190="","",ROUND(I190*(1-'상품표'!$G$4),0))</f>
        <v/>
      </c>
      <c r="K190" s="20" t="str">
        <f t="shared" si="1"/>
        <v/>
      </c>
      <c r="L190" s="32" t="str">
        <f t="array" ref="L190">IF(C190="","",IF(ISNA(MATCH(C190,'상품표'!$A$4:$A$18,0)),"상품명 확인",IF(H190="","수량 입력",IF(FALSE,"",IF(INDEX('상품표'!$B$4:$B$18,MATCH(C190,'상품표'!$A$4:$A$18,0))="의류",IF(D190="","사이즈 선택",IF(AND(LEFT(C190,4)="후드집업",OR(D190="XXS",D190="XS")),"후드는 S부터",IF(COUNTA(E190:G190)&gt;0,"세트 옵션은 세트만","OK"))),IF(INDEX('상품표'!$B$4:$B$18,MATCH(C190,'상품표'!$A$4:$A$18,0))="세트",IF(COUNTA(E190:G190)&lt;3,"세트 옵션 선택",IF(D190&lt;&gt;"","사이즈 불필요","OK")),IF(COUNTA(E190:G190)&gt;0,"세트 옵션은 세트만",IF(D190&lt;&gt;"","사이즈 불필요","OK"))))))))</f>
        <v/>
      </c>
      <c r="M190" s="44"/>
      <c r="N190" s="45"/>
    </row>
    <row r="191" ht="15.75" customHeight="1">
      <c r="A191" s="32">
        <v>186.0</v>
      </c>
      <c r="B191" s="33"/>
      <c r="C191" s="33"/>
      <c r="D191" s="33"/>
      <c r="E191" s="33"/>
      <c r="F191" s="33"/>
      <c r="G191" s="33"/>
      <c r="H191" s="33"/>
      <c r="I191" s="20" t="str">
        <f t="array" ref="I191">IF(C191="","",IFERROR(INDEX('상품표'!$C$4:$C$18,MATCH(C191,'상품표'!$A$4:$A$18,0)),""))</f>
        <v/>
      </c>
      <c r="J191" s="20" t="str">
        <f>IF(I191="","",ROUND(I191*(1-'상품표'!$G$4),0))</f>
        <v/>
      </c>
      <c r="K191" s="20" t="str">
        <f t="shared" si="1"/>
        <v/>
      </c>
      <c r="L191" s="32" t="str">
        <f t="array" ref="L191">IF(C191="","",IF(ISNA(MATCH(C191,'상품표'!$A$4:$A$18,0)),"상품명 확인",IF(H191="","수량 입력",IF(FALSE,"",IF(INDEX('상품표'!$B$4:$B$18,MATCH(C191,'상품표'!$A$4:$A$18,0))="의류",IF(D191="","사이즈 선택",IF(AND(LEFT(C191,4)="후드집업",OR(D191="XXS",D191="XS")),"후드는 S부터",IF(COUNTA(E191:G191)&gt;0,"세트 옵션은 세트만","OK"))),IF(INDEX('상품표'!$B$4:$B$18,MATCH(C191,'상품표'!$A$4:$A$18,0))="세트",IF(COUNTA(E191:G191)&lt;3,"세트 옵션 선택",IF(D191&lt;&gt;"","사이즈 불필요","OK")),IF(COUNTA(E191:G191)&gt;0,"세트 옵션은 세트만",IF(D191&lt;&gt;"","사이즈 불필요","OK"))))))))</f>
        <v/>
      </c>
      <c r="M191" s="44"/>
      <c r="N191" s="45"/>
    </row>
    <row r="192" ht="15.75" customHeight="1">
      <c r="A192" s="32">
        <v>187.0</v>
      </c>
      <c r="B192" s="33"/>
      <c r="C192" s="33"/>
      <c r="D192" s="33"/>
      <c r="E192" s="33"/>
      <c r="F192" s="33"/>
      <c r="G192" s="33"/>
      <c r="H192" s="33"/>
      <c r="I192" s="20" t="str">
        <f t="array" ref="I192">IF(C192="","",IFERROR(INDEX('상품표'!$C$4:$C$18,MATCH(C192,'상품표'!$A$4:$A$18,0)),""))</f>
        <v/>
      </c>
      <c r="J192" s="20" t="str">
        <f>IF(I192="","",ROUND(I192*(1-'상품표'!$G$4),0))</f>
        <v/>
      </c>
      <c r="K192" s="20" t="str">
        <f t="shared" si="1"/>
        <v/>
      </c>
      <c r="L192" s="32" t="str">
        <f t="array" ref="L192">IF(C192="","",IF(ISNA(MATCH(C192,'상품표'!$A$4:$A$18,0)),"상품명 확인",IF(H192="","수량 입력",IF(FALSE,"",IF(INDEX('상품표'!$B$4:$B$18,MATCH(C192,'상품표'!$A$4:$A$18,0))="의류",IF(D192="","사이즈 선택",IF(AND(LEFT(C192,4)="후드집업",OR(D192="XXS",D192="XS")),"후드는 S부터",IF(COUNTA(E192:G192)&gt;0,"세트 옵션은 세트만","OK"))),IF(INDEX('상품표'!$B$4:$B$18,MATCH(C192,'상품표'!$A$4:$A$18,0))="세트",IF(COUNTA(E192:G192)&lt;3,"세트 옵션 선택",IF(D192&lt;&gt;"","사이즈 불필요","OK")),IF(COUNTA(E192:G192)&gt;0,"세트 옵션은 세트만",IF(D192&lt;&gt;"","사이즈 불필요","OK"))))))))</f>
        <v/>
      </c>
      <c r="M192" s="44"/>
      <c r="N192" s="45"/>
    </row>
    <row r="193" ht="15.75" customHeight="1">
      <c r="A193" s="32">
        <v>188.0</v>
      </c>
      <c r="B193" s="33"/>
      <c r="C193" s="33"/>
      <c r="D193" s="33"/>
      <c r="E193" s="33"/>
      <c r="F193" s="33"/>
      <c r="G193" s="33"/>
      <c r="H193" s="33"/>
      <c r="I193" s="20" t="str">
        <f t="array" ref="I193">IF(C193="","",IFERROR(INDEX('상품표'!$C$4:$C$18,MATCH(C193,'상품표'!$A$4:$A$18,0)),""))</f>
        <v/>
      </c>
      <c r="J193" s="20" t="str">
        <f>IF(I193="","",ROUND(I193*(1-'상품표'!$G$4),0))</f>
        <v/>
      </c>
      <c r="K193" s="20" t="str">
        <f t="shared" si="1"/>
        <v/>
      </c>
      <c r="L193" s="32" t="str">
        <f t="array" ref="L193">IF(C193="","",IF(ISNA(MATCH(C193,'상품표'!$A$4:$A$18,0)),"상품명 확인",IF(H193="","수량 입력",IF(FALSE,"",IF(INDEX('상품표'!$B$4:$B$18,MATCH(C193,'상품표'!$A$4:$A$18,0))="의류",IF(D193="","사이즈 선택",IF(AND(LEFT(C193,4)="후드집업",OR(D193="XXS",D193="XS")),"후드는 S부터",IF(COUNTA(E193:G193)&gt;0,"세트 옵션은 세트만","OK"))),IF(INDEX('상품표'!$B$4:$B$18,MATCH(C193,'상품표'!$A$4:$A$18,0))="세트",IF(COUNTA(E193:G193)&lt;3,"세트 옵션 선택",IF(D193&lt;&gt;"","사이즈 불필요","OK")),IF(COUNTA(E193:G193)&gt;0,"세트 옵션은 세트만",IF(D193&lt;&gt;"","사이즈 불필요","OK"))))))))</f>
        <v/>
      </c>
      <c r="M193" s="44"/>
      <c r="N193" s="45"/>
    </row>
    <row r="194" ht="15.75" customHeight="1">
      <c r="A194" s="32">
        <v>189.0</v>
      </c>
      <c r="B194" s="33"/>
      <c r="C194" s="33"/>
      <c r="D194" s="33"/>
      <c r="E194" s="33"/>
      <c r="F194" s="33"/>
      <c r="G194" s="33"/>
      <c r="H194" s="33"/>
      <c r="I194" s="20" t="str">
        <f t="array" ref="I194">IF(C194="","",IFERROR(INDEX('상품표'!$C$4:$C$18,MATCH(C194,'상품표'!$A$4:$A$18,0)),""))</f>
        <v/>
      </c>
      <c r="J194" s="20" t="str">
        <f>IF(I194="","",ROUND(I194*(1-'상품표'!$G$4),0))</f>
        <v/>
      </c>
      <c r="K194" s="20" t="str">
        <f t="shared" si="1"/>
        <v/>
      </c>
      <c r="L194" s="32" t="str">
        <f t="array" ref="L194">IF(C194="","",IF(ISNA(MATCH(C194,'상품표'!$A$4:$A$18,0)),"상품명 확인",IF(H194="","수량 입력",IF(FALSE,"",IF(INDEX('상품표'!$B$4:$B$18,MATCH(C194,'상품표'!$A$4:$A$18,0))="의류",IF(D194="","사이즈 선택",IF(AND(LEFT(C194,4)="후드집업",OR(D194="XXS",D194="XS")),"후드는 S부터",IF(COUNTA(E194:G194)&gt;0,"세트 옵션은 세트만","OK"))),IF(INDEX('상품표'!$B$4:$B$18,MATCH(C194,'상품표'!$A$4:$A$18,0))="세트",IF(COUNTA(E194:G194)&lt;3,"세트 옵션 선택",IF(D194&lt;&gt;"","사이즈 불필요","OK")),IF(COUNTA(E194:G194)&gt;0,"세트 옵션은 세트만",IF(D194&lt;&gt;"","사이즈 불필요","OK"))))))))</f>
        <v/>
      </c>
      <c r="M194" s="44"/>
      <c r="N194" s="45"/>
    </row>
    <row r="195" ht="15.75" customHeight="1">
      <c r="A195" s="32">
        <v>190.0</v>
      </c>
      <c r="B195" s="33"/>
      <c r="C195" s="33"/>
      <c r="D195" s="33"/>
      <c r="E195" s="33"/>
      <c r="F195" s="33"/>
      <c r="G195" s="33"/>
      <c r="H195" s="33"/>
      <c r="I195" s="20" t="str">
        <f t="array" ref="I195">IF(C195="","",IFERROR(INDEX('상품표'!$C$4:$C$18,MATCH(C195,'상품표'!$A$4:$A$18,0)),""))</f>
        <v/>
      </c>
      <c r="J195" s="20" t="str">
        <f>IF(I195="","",ROUND(I195*(1-'상품표'!$G$4),0))</f>
        <v/>
      </c>
      <c r="K195" s="20" t="str">
        <f t="shared" si="1"/>
        <v/>
      </c>
      <c r="L195" s="32" t="str">
        <f t="array" ref="L195">IF(C195="","",IF(ISNA(MATCH(C195,'상품표'!$A$4:$A$18,0)),"상품명 확인",IF(H195="","수량 입력",IF(FALSE,"",IF(INDEX('상품표'!$B$4:$B$18,MATCH(C195,'상품표'!$A$4:$A$18,0))="의류",IF(D195="","사이즈 선택",IF(AND(LEFT(C195,4)="후드집업",OR(D195="XXS",D195="XS")),"후드는 S부터",IF(COUNTA(E195:G195)&gt;0,"세트 옵션은 세트만","OK"))),IF(INDEX('상품표'!$B$4:$B$18,MATCH(C195,'상품표'!$A$4:$A$18,0))="세트",IF(COUNTA(E195:G195)&lt;3,"세트 옵션 선택",IF(D195&lt;&gt;"","사이즈 불필요","OK")),IF(COUNTA(E195:G195)&gt;0,"세트 옵션은 세트만",IF(D195&lt;&gt;"","사이즈 불필요","OK"))))))))</f>
        <v/>
      </c>
      <c r="M195" s="44"/>
      <c r="N195" s="45"/>
    </row>
    <row r="196" ht="15.75" customHeight="1">
      <c r="A196" s="32">
        <v>191.0</v>
      </c>
      <c r="B196" s="33"/>
      <c r="C196" s="33"/>
      <c r="D196" s="33"/>
      <c r="E196" s="33"/>
      <c r="F196" s="33"/>
      <c r="G196" s="33"/>
      <c r="H196" s="33"/>
      <c r="I196" s="20" t="str">
        <f t="array" ref="I196">IF(C196="","",IFERROR(INDEX('상품표'!$C$4:$C$18,MATCH(C196,'상품표'!$A$4:$A$18,0)),""))</f>
        <v/>
      </c>
      <c r="J196" s="20" t="str">
        <f>IF(I196="","",ROUND(I196*(1-'상품표'!$G$4),0))</f>
        <v/>
      </c>
      <c r="K196" s="20" t="str">
        <f t="shared" si="1"/>
        <v/>
      </c>
      <c r="L196" s="32" t="str">
        <f t="array" ref="L196">IF(C196="","",IF(ISNA(MATCH(C196,'상품표'!$A$4:$A$18,0)),"상품명 확인",IF(H196="","수량 입력",IF(FALSE,"",IF(INDEX('상품표'!$B$4:$B$18,MATCH(C196,'상품표'!$A$4:$A$18,0))="의류",IF(D196="","사이즈 선택",IF(AND(LEFT(C196,4)="후드집업",OR(D196="XXS",D196="XS")),"후드는 S부터",IF(COUNTA(E196:G196)&gt;0,"세트 옵션은 세트만","OK"))),IF(INDEX('상품표'!$B$4:$B$18,MATCH(C196,'상품표'!$A$4:$A$18,0))="세트",IF(COUNTA(E196:G196)&lt;3,"세트 옵션 선택",IF(D196&lt;&gt;"","사이즈 불필요","OK")),IF(COUNTA(E196:G196)&gt;0,"세트 옵션은 세트만",IF(D196&lt;&gt;"","사이즈 불필요","OK"))))))))</f>
        <v/>
      </c>
      <c r="M196" s="44"/>
      <c r="N196" s="45"/>
    </row>
    <row r="197" ht="15.75" customHeight="1">
      <c r="A197" s="32">
        <v>192.0</v>
      </c>
      <c r="B197" s="33"/>
      <c r="C197" s="33"/>
      <c r="D197" s="33"/>
      <c r="E197" s="33"/>
      <c r="F197" s="33"/>
      <c r="G197" s="33"/>
      <c r="H197" s="33"/>
      <c r="I197" s="20" t="str">
        <f t="array" ref="I197">IF(C197="","",IFERROR(INDEX('상품표'!$C$4:$C$18,MATCH(C197,'상품표'!$A$4:$A$18,0)),""))</f>
        <v/>
      </c>
      <c r="J197" s="20" t="str">
        <f>IF(I197="","",ROUND(I197*(1-'상품표'!$G$4),0))</f>
        <v/>
      </c>
      <c r="K197" s="20" t="str">
        <f t="shared" si="1"/>
        <v/>
      </c>
      <c r="L197" s="32" t="str">
        <f t="array" ref="L197">IF(C197="","",IF(ISNA(MATCH(C197,'상품표'!$A$4:$A$18,0)),"상품명 확인",IF(H197="","수량 입력",IF(FALSE,"",IF(INDEX('상품표'!$B$4:$B$18,MATCH(C197,'상품표'!$A$4:$A$18,0))="의류",IF(D197="","사이즈 선택",IF(AND(LEFT(C197,4)="후드집업",OR(D197="XXS",D197="XS")),"후드는 S부터",IF(COUNTA(E197:G197)&gt;0,"세트 옵션은 세트만","OK"))),IF(INDEX('상품표'!$B$4:$B$18,MATCH(C197,'상품표'!$A$4:$A$18,0))="세트",IF(COUNTA(E197:G197)&lt;3,"세트 옵션 선택",IF(D197&lt;&gt;"","사이즈 불필요","OK")),IF(COUNTA(E197:G197)&gt;0,"세트 옵션은 세트만",IF(D197&lt;&gt;"","사이즈 불필요","OK"))))))))</f>
        <v/>
      </c>
      <c r="M197" s="44"/>
      <c r="N197" s="45"/>
    </row>
    <row r="198" ht="15.75" customHeight="1">
      <c r="A198" s="32">
        <v>193.0</v>
      </c>
      <c r="B198" s="33"/>
      <c r="C198" s="33"/>
      <c r="D198" s="33"/>
      <c r="E198" s="33"/>
      <c r="F198" s="33"/>
      <c r="G198" s="33"/>
      <c r="H198" s="33"/>
      <c r="I198" s="20" t="str">
        <f t="array" ref="I198">IF(C198="","",IFERROR(INDEX('상품표'!$C$4:$C$18,MATCH(C198,'상품표'!$A$4:$A$18,0)),""))</f>
        <v/>
      </c>
      <c r="J198" s="20" t="str">
        <f>IF(I198="","",ROUND(I198*(1-'상품표'!$G$4),0))</f>
        <v/>
      </c>
      <c r="K198" s="20" t="str">
        <f t="shared" si="1"/>
        <v/>
      </c>
      <c r="L198" s="32" t="str">
        <f t="array" ref="L198">IF(C198="","",IF(ISNA(MATCH(C198,'상품표'!$A$4:$A$18,0)),"상품명 확인",IF(H198="","수량 입력",IF(FALSE,"",IF(INDEX('상품표'!$B$4:$B$18,MATCH(C198,'상품표'!$A$4:$A$18,0))="의류",IF(D198="","사이즈 선택",IF(AND(LEFT(C198,4)="후드집업",OR(D198="XXS",D198="XS")),"후드는 S부터",IF(COUNTA(E198:G198)&gt;0,"세트 옵션은 세트만","OK"))),IF(INDEX('상품표'!$B$4:$B$18,MATCH(C198,'상품표'!$A$4:$A$18,0))="세트",IF(COUNTA(E198:G198)&lt;3,"세트 옵션 선택",IF(D198&lt;&gt;"","사이즈 불필요","OK")),IF(COUNTA(E198:G198)&gt;0,"세트 옵션은 세트만",IF(D198&lt;&gt;"","사이즈 불필요","OK"))))))))</f>
        <v/>
      </c>
      <c r="M198" s="44"/>
      <c r="N198" s="45"/>
    </row>
    <row r="199" ht="15.75" customHeight="1">
      <c r="A199" s="32">
        <v>194.0</v>
      </c>
      <c r="B199" s="33"/>
      <c r="C199" s="33"/>
      <c r="D199" s="33"/>
      <c r="E199" s="33"/>
      <c r="F199" s="33"/>
      <c r="G199" s="33"/>
      <c r="H199" s="33"/>
      <c r="I199" s="20" t="str">
        <f t="array" ref="I199">IF(C199="","",IFERROR(INDEX('상품표'!$C$4:$C$18,MATCH(C199,'상품표'!$A$4:$A$18,0)),""))</f>
        <v/>
      </c>
      <c r="J199" s="20" t="str">
        <f>IF(I199="","",ROUND(I199*(1-'상품표'!$G$4),0))</f>
        <v/>
      </c>
      <c r="K199" s="20" t="str">
        <f t="shared" si="1"/>
        <v/>
      </c>
      <c r="L199" s="32" t="str">
        <f t="array" ref="L199">IF(C199="","",IF(ISNA(MATCH(C199,'상품표'!$A$4:$A$18,0)),"상품명 확인",IF(H199="","수량 입력",IF(FALSE,"",IF(INDEX('상품표'!$B$4:$B$18,MATCH(C199,'상품표'!$A$4:$A$18,0))="의류",IF(D199="","사이즈 선택",IF(AND(LEFT(C199,4)="후드집업",OR(D199="XXS",D199="XS")),"후드는 S부터",IF(COUNTA(E199:G199)&gt;0,"세트 옵션은 세트만","OK"))),IF(INDEX('상품표'!$B$4:$B$18,MATCH(C199,'상품표'!$A$4:$A$18,0))="세트",IF(COUNTA(E199:G199)&lt;3,"세트 옵션 선택",IF(D199&lt;&gt;"","사이즈 불필요","OK")),IF(COUNTA(E199:G199)&gt;0,"세트 옵션은 세트만",IF(D199&lt;&gt;"","사이즈 불필요","OK"))))))))</f>
        <v/>
      </c>
      <c r="M199" s="44"/>
      <c r="N199" s="45"/>
    </row>
    <row r="200" ht="15.75" customHeight="1">
      <c r="A200" s="32">
        <v>195.0</v>
      </c>
      <c r="B200" s="33"/>
      <c r="C200" s="33"/>
      <c r="D200" s="33"/>
      <c r="E200" s="33"/>
      <c r="F200" s="33"/>
      <c r="G200" s="33"/>
      <c r="H200" s="33"/>
      <c r="I200" s="20" t="str">
        <f t="array" ref="I200">IF(C200="","",IFERROR(INDEX('상품표'!$C$4:$C$18,MATCH(C200,'상품표'!$A$4:$A$18,0)),""))</f>
        <v/>
      </c>
      <c r="J200" s="20" t="str">
        <f>IF(I200="","",ROUND(I200*(1-'상품표'!$G$4),0))</f>
        <v/>
      </c>
      <c r="K200" s="20" t="str">
        <f t="shared" si="1"/>
        <v/>
      </c>
      <c r="L200" s="32" t="str">
        <f t="array" ref="L200">IF(C200="","",IF(ISNA(MATCH(C200,'상품표'!$A$4:$A$18,0)),"상품명 확인",IF(H200="","수량 입력",IF(FALSE,"",IF(INDEX('상품표'!$B$4:$B$18,MATCH(C200,'상품표'!$A$4:$A$18,0))="의류",IF(D200="","사이즈 선택",IF(AND(LEFT(C200,4)="후드집업",OR(D200="XXS",D200="XS")),"후드는 S부터",IF(COUNTA(E200:G200)&gt;0,"세트 옵션은 세트만","OK"))),IF(INDEX('상품표'!$B$4:$B$18,MATCH(C200,'상품표'!$A$4:$A$18,0))="세트",IF(COUNTA(E200:G200)&lt;3,"세트 옵션 선택",IF(D200&lt;&gt;"","사이즈 불필요","OK")),IF(COUNTA(E200:G200)&gt;0,"세트 옵션은 세트만",IF(D200&lt;&gt;"","사이즈 불필요","OK"))))))))</f>
        <v/>
      </c>
      <c r="M200" s="44"/>
      <c r="N200" s="45"/>
    </row>
    <row r="201" ht="15.75" customHeight="1">
      <c r="A201" s="32">
        <v>196.0</v>
      </c>
      <c r="B201" s="33"/>
      <c r="C201" s="33"/>
      <c r="D201" s="33"/>
      <c r="E201" s="33"/>
      <c r="F201" s="33"/>
      <c r="G201" s="33"/>
      <c r="H201" s="33"/>
      <c r="I201" s="20" t="str">
        <f t="array" ref="I201">IF(C201="","",IFERROR(INDEX('상품표'!$C$4:$C$18,MATCH(C201,'상품표'!$A$4:$A$18,0)),""))</f>
        <v/>
      </c>
      <c r="J201" s="20" t="str">
        <f>IF(I201="","",ROUND(I201*(1-'상품표'!$G$4),0))</f>
        <v/>
      </c>
      <c r="K201" s="20" t="str">
        <f t="shared" si="1"/>
        <v/>
      </c>
      <c r="L201" s="32" t="str">
        <f t="array" ref="L201">IF(C201="","",IF(ISNA(MATCH(C201,'상품표'!$A$4:$A$18,0)),"상품명 확인",IF(H201="","수량 입력",IF(FALSE,"",IF(INDEX('상품표'!$B$4:$B$18,MATCH(C201,'상품표'!$A$4:$A$18,0))="의류",IF(D201="","사이즈 선택",IF(AND(LEFT(C201,4)="후드집업",OR(D201="XXS",D201="XS")),"후드는 S부터",IF(COUNTA(E201:G201)&gt;0,"세트 옵션은 세트만","OK"))),IF(INDEX('상품표'!$B$4:$B$18,MATCH(C201,'상품표'!$A$4:$A$18,0))="세트",IF(COUNTA(E201:G201)&lt;3,"세트 옵션 선택",IF(D201&lt;&gt;"","사이즈 불필요","OK")),IF(COUNTA(E201:G201)&gt;0,"세트 옵션은 세트만",IF(D201&lt;&gt;"","사이즈 불필요","OK"))))))))</f>
        <v/>
      </c>
      <c r="M201" s="44"/>
      <c r="N201" s="45"/>
    </row>
    <row r="202" ht="15.75" customHeight="1">
      <c r="A202" s="32">
        <v>197.0</v>
      </c>
      <c r="B202" s="33"/>
      <c r="C202" s="33"/>
      <c r="D202" s="33"/>
      <c r="E202" s="33"/>
      <c r="F202" s="33"/>
      <c r="G202" s="33"/>
      <c r="H202" s="33"/>
      <c r="I202" s="20" t="str">
        <f t="array" ref="I202">IF(C202="","",IFERROR(INDEX('상품표'!$C$4:$C$18,MATCH(C202,'상품표'!$A$4:$A$18,0)),""))</f>
        <v/>
      </c>
      <c r="J202" s="20" t="str">
        <f>IF(I202="","",ROUND(I202*(1-'상품표'!$G$4),0))</f>
        <v/>
      </c>
      <c r="K202" s="20" t="str">
        <f t="shared" si="1"/>
        <v/>
      </c>
      <c r="L202" s="32" t="str">
        <f t="array" ref="L202">IF(C202="","",IF(ISNA(MATCH(C202,'상품표'!$A$4:$A$18,0)),"상품명 확인",IF(H202="","수량 입력",IF(FALSE,"",IF(INDEX('상품표'!$B$4:$B$18,MATCH(C202,'상품표'!$A$4:$A$18,0))="의류",IF(D202="","사이즈 선택",IF(AND(LEFT(C202,4)="후드집업",OR(D202="XXS",D202="XS")),"후드는 S부터",IF(COUNTA(E202:G202)&gt;0,"세트 옵션은 세트만","OK"))),IF(INDEX('상품표'!$B$4:$B$18,MATCH(C202,'상품표'!$A$4:$A$18,0))="세트",IF(COUNTA(E202:G202)&lt;3,"세트 옵션 선택",IF(D202&lt;&gt;"","사이즈 불필요","OK")),IF(COUNTA(E202:G202)&gt;0,"세트 옵션은 세트만",IF(D202&lt;&gt;"","사이즈 불필요","OK"))))))))</f>
        <v/>
      </c>
      <c r="M202" s="44"/>
      <c r="N202" s="45"/>
    </row>
    <row r="203" ht="15.75" customHeight="1">
      <c r="A203" s="32">
        <v>198.0</v>
      </c>
      <c r="B203" s="33"/>
      <c r="C203" s="33"/>
      <c r="D203" s="33"/>
      <c r="E203" s="33"/>
      <c r="F203" s="33"/>
      <c r="G203" s="33"/>
      <c r="H203" s="33"/>
      <c r="I203" s="20" t="str">
        <f t="array" ref="I203">IF(C203="","",IFERROR(INDEX('상품표'!$C$4:$C$18,MATCH(C203,'상품표'!$A$4:$A$18,0)),""))</f>
        <v/>
      </c>
      <c r="J203" s="20" t="str">
        <f>IF(I203="","",ROUND(I203*(1-'상품표'!$G$4),0))</f>
        <v/>
      </c>
      <c r="K203" s="20" t="str">
        <f t="shared" si="1"/>
        <v/>
      </c>
      <c r="L203" s="32" t="str">
        <f t="array" ref="L203">IF(C203="","",IF(ISNA(MATCH(C203,'상품표'!$A$4:$A$18,0)),"상품명 확인",IF(H203="","수량 입력",IF(FALSE,"",IF(INDEX('상품표'!$B$4:$B$18,MATCH(C203,'상품표'!$A$4:$A$18,0))="의류",IF(D203="","사이즈 선택",IF(AND(LEFT(C203,4)="후드집업",OR(D203="XXS",D203="XS")),"후드는 S부터",IF(COUNTA(E203:G203)&gt;0,"세트 옵션은 세트만","OK"))),IF(INDEX('상품표'!$B$4:$B$18,MATCH(C203,'상품표'!$A$4:$A$18,0))="세트",IF(COUNTA(E203:G203)&lt;3,"세트 옵션 선택",IF(D203&lt;&gt;"","사이즈 불필요","OK")),IF(COUNTA(E203:G203)&gt;0,"세트 옵션은 세트만",IF(D203&lt;&gt;"","사이즈 불필요","OK"))))))))</f>
        <v/>
      </c>
      <c r="M203" s="44"/>
      <c r="N203" s="45"/>
    </row>
    <row r="204" ht="15.75" customHeight="1">
      <c r="A204" s="32">
        <v>199.0</v>
      </c>
      <c r="B204" s="33"/>
      <c r="C204" s="33"/>
      <c r="D204" s="33"/>
      <c r="E204" s="33"/>
      <c r="F204" s="33"/>
      <c r="G204" s="33"/>
      <c r="H204" s="33"/>
      <c r="I204" s="20" t="str">
        <f t="array" ref="I204">IF(C204="","",IFERROR(INDEX('상품표'!$C$4:$C$18,MATCH(C204,'상품표'!$A$4:$A$18,0)),""))</f>
        <v/>
      </c>
      <c r="J204" s="20" t="str">
        <f>IF(I204="","",ROUND(I204*(1-'상품표'!$G$4),0))</f>
        <v/>
      </c>
      <c r="K204" s="20" t="str">
        <f t="shared" si="1"/>
        <v/>
      </c>
      <c r="L204" s="32" t="str">
        <f t="array" ref="L204">IF(C204="","",IF(ISNA(MATCH(C204,'상품표'!$A$4:$A$18,0)),"상품명 확인",IF(H204="","수량 입력",IF(FALSE,"",IF(INDEX('상품표'!$B$4:$B$18,MATCH(C204,'상품표'!$A$4:$A$18,0))="의류",IF(D204="","사이즈 선택",IF(AND(LEFT(C204,4)="후드집업",OR(D204="XXS",D204="XS")),"후드는 S부터",IF(COUNTA(E204:G204)&gt;0,"세트 옵션은 세트만","OK"))),IF(INDEX('상품표'!$B$4:$B$18,MATCH(C204,'상품표'!$A$4:$A$18,0))="세트",IF(COUNTA(E204:G204)&lt;3,"세트 옵션 선택",IF(D204&lt;&gt;"","사이즈 불필요","OK")),IF(COUNTA(E204:G204)&gt;0,"세트 옵션은 세트만",IF(D204&lt;&gt;"","사이즈 불필요","OK"))))))))</f>
        <v/>
      </c>
      <c r="M204" s="44"/>
      <c r="N204" s="45"/>
    </row>
    <row r="205" ht="15.75" customHeight="1">
      <c r="A205" s="32">
        <v>200.0</v>
      </c>
      <c r="B205" s="33"/>
      <c r="C205" s="33"/>
      <c r="D205" s="33"/>
      <c r="E205" s="33"/>
      <c r="F205" s="33"/>
      <c r="G205" s="33"/>
      <c r="H205" s="33"/>
      <c r="I205" s="20" t="str">
        <f t="array" ref="I205">IF(C205="","",IFERROR(INDEX('상품표'!$C$4:$C$18,MATCH(C205,'상품표'!$A$4:$A$18,0)),""))</f>
        <v/>
      </c>
      <c r="J205" s="20" t="str">
        <f>IF(I205="","",ROUND(I205*(1-'상품표'!$G$4),0))</f>
        <v/>
      </c>
      <c r="K205" s="20" t="str">
        <f t="shared" si="1"/>
        <v/>
      </c>
      <c r="L205" s="32" t="str">
        <f t="array" ref="L205">IF(C205="","",IF(ISNA(MATCH(C205,'상품표'!$A$4:$A$18,0)),"상품명 확인",IF(H205="","수량 입력",IF(FALSE,"",IF(INDEX('상품표'!$B$4:$B$18,MATCH(C205,'상품표'!$A$4:$A$18,0))="의류",IF(D205="","사이즈 선택",IF(AND(LEFT(C205,4)="후드집업",OR(D205="XXS",D205="XS")),"후드는 S부터",IF(COUNTA(E205:G205)&gt;0,"세트 옵션은 세트만","OK"))),IF(INDEX('상품표'!$B$4:$B$18,MATCH(C205,'상품표'!$A$4:$A$18,0))="세트",IF(COUNTA(E205:G205)&lt;3,"세트 옵션 선택",IF(D205&lt;&gt;"","사이즈 불필요","OK")),IF(COUNTA(E205:G205)&gt;0,"세트 옵션은 세트만",IF(D205&lt;&gt;"","사이즈 불필요","OK"))))))))</f>
        <v/>
      </c>
      <c r="M205" s="44"/>
      <c r="N205" s="45"/>
    </row>
    <row r="206" ht="15.75" customHeight="1">
      <c r="A206" s="32">
        <v>201.0</v>
      </c>
      <c r="B206" s="33"/>
      <c r="C206" s="33"/>
      <c r="D206" s="33"/>
      <c r="E206" s="33"/>
      <c r="F206" s="33"/>
      <c r="G206" s="33"/>
      <c r="H206" s="33"/>
      <c r="I206" s="20" t="str">
        <f t="array" ref="I206">IF(C206="","",IFERROR(INDEX('상품표'!$C$4:$C$18,MATCH(C206,'상품표'!$A$4:$A$18,0)),""))</f>
        <v/>
      </c>
      <c r="J206" s="20" t="str">
        <f>IF(I206="","",ROUND(I206*(1-'상품표'!$G$4),0))</f>
        <v/>
      </c>
      <c r="K206" s="20" t="str">
        <f t="shared" si="1"/>
        <v/>
      </c>
      <c r="L206" s="32" t="str">
        <f t="array" ref="L206">IF(C206="","",IF(ISNA(MATCH(C206,'상품표'!$A$4:$A$18,0)),"상품명 확인",IF(H206="","수량 입력",IF(FALSE,"",IF(INDEX('상품표'!$B$4:$B$18,MATCH(C206,'상품표'!$A$4:$A$18,0))="의류",IF(D206="","사이즈 선택",IF(AND(LEFT(C206,4)="후드집업",OR(D206="XXS",D206="XS")),"후드는 S부터",IF(COUNTA(E206:G206)&gt;0,"세트 옵션은 세트만","OK"))),IF(INDEX('상품표'!$B$4:$B$18,MATCH(C206,'상품표'!$A$4:$A$18,0))="세트",IF(COUNTA(E206:G206)&lt;3,"세트 옵션 선택",IF(D206&lt;&gt;"","사이즈 불필요","OK")),IF(COUNTA(E206:G206)&gt;0,"세트 옵션은 세트만",IF(D206&lt;&gt;"","사이즈 불필요","OK"))))))))</f>
        <v/>
      </c>
      <c r="M206" s="44"/>
      <c r="N206" s="45"/>
    </row>
    <row r="207" ht="15.75" customHeight="1">
      <c r="A207" s="32">
        <v>202.0</v>
      </c>
      <c r="B207" s="33"/>
      <c r="C207" s="33"/>
      <c r="D207" s="33"/>
      <c r="E207" s="33"/>
      <c r="F207" s="33"/>
      <c r="G207" s="33"/>
      <c r="H207" s="33"/>
      <c r="I207" s="20" t="str">
        <f t="array" ref="I207">IF(C207="","",IFERROR(INDEX('상품표'!$C$4:$C$18,MATCH(C207,'상품표'!$A$4:$A$18,0)),""))</f>
        <v/>
      </c>
      <c r="J207" s="20" t="str">
        <f>IF(I207="","",ROUND(I207*(1-'상품표'!$G$4),0))</f>
        <v/>
      </c>
      <c r="K207" s="20" t="str">
        <f t="shared" si="1"/>
        <v/>
      </c>
      <c r="L207" s="32" t="str">
        <f t="array" ref="L207">IF(C207="","",IF(ISNA(MATCH(C207,'상품표'!$A$4:$A$18,0)),"상품명 확인",IF(H207="","수량 입력",IF(FALSE,"",IF(INDEX('상품표'!$B$4:$B$18,MATCH(C207,'상품표'!$A$4:$A$18,0))="의류",IF(D207="","사이즈 선택",IF(AND(LEFT(C207,4)="후드집업",OR(D207="XXS",D207="XS")),"후드는 S부터",IF(COUNTA(E207:G207)&gt;0,"세트 옵션은 세트만","OK"))),IF(INDEX('상품표'!$B$4:$B$18,MATCH(C207,'상품표'!$A$4:$A$18,0))="세트",IF(COUNTA(E207:G207)&lt;3,"세트 옵션 선택",IF(D207&lt;&gt;"","사이즈 불필요","OK")),IF(COUNTA(E207:G207)&gt;0,"세트 옵션은 세트만",IF(D207&lt;&gt;"","사이즈 불필요","OK"))))))))</f>
        <v/>
      </c>
      <c r="M207" s="44"/>
      <c r="N207" s="45"/>
    </row>
    <row r="208" ht="15.75" customHeight="1">
      <c r="A208" s="32">
        <v>203.0</v>
      </c>
      <c r="B208" s="33"/>
      <c r="C208" s="33"/>
      <c r="D208" s="33"/>
      <c r="E208" s="33"/>
      <c r="F208" s="33"/>
      <c r="G208" s="33"/>
      <c r="H208" s="33"/>
      <c r="I208" s="20" t="str">
        <f t="array" ref="I208">IF(C208="","",IFERROR(INDEX('상품표'!$C$4:$C$18,MATCH(C208,'상품표'!$A$4:$A$18,0)),""))</f>
        <v/>
      </c>
      <c r="J208" s="20" t="str">
        <f>IF(I208="","",ROUND(I208*(1-'상품표'!$G$4),0))</f>
        <v/>
      </c>
      <c r="K208" s="20" t="str">
        <f t="shared" si="1"/>
        <v/>
      </c>
      <c r="L208" s="32" t="str">
        <f t="array" ref="L208">IF(C208="","",IF(ISNA(MATCH(C208,'상품표'!$A$4:$A$18,0)),"상품명 확인",IF(H208="","수량 입력",IF(FALSE,"",IF(INDEX('상품표'!$B$4:$B$18,MATCH(C208,'상품표'!$A$4:$A$18,0))="의류",IF(D208="","사이즈 선택",IF(AND(LEFT(C208,4)="후드집업",OR(D208="XXS",D208="XS")),"후드는 S부터",IF(COUNTA(E208:G208)&gt;0,"세트 옵션은 세트만","OK"))),IF(INDEX('상품표'!$B$4:$B$18,MATCH(C208,'상품표'!$A$4:$A$18,0))="세트",IF(COUNTA(E208:G208)&lt;3,"세트 옵션 선택",IF(D208&lt;&gt;"","사이즈 불필요","OK")),IF(COUNTA(E208:G208)&gt;0,"세트 옵션은 세트만",IF(D208&lt;&gt;"","사이즈 불필요","OK"))))))))</f>
        <v/>
      </c>
      <c r="M208" s="44"/>
      <c r="N208" s="45"/>
    </row>
    <row r="209" ht="15.75" customHeight="1">
      <c r="A209" s="32">
        <v>204.0</v>
      </c>
      <c r="B209" s="33"/>
      <c r="C209" s="33"/>
      <c r="D209" s="33"/>
      <c r="E209" s="33"/>
      <c r="F209" s="33"/>
      <c r="G209" s="33"/>
      <c r="H209" s="33"/>
      <c r="I209" s="20" t="str">
        <f t="array" ref="I209">IF(C209="","",IFERROR(INDEX('상품표'!$C$4:$C$18,MATCH(C209,'상품표'!$A$4:$A$18,0)),""))</f>
        <v/>
      </c>
      <c r="J209" s="20" t="str">
        <f>IF(I209="","",ROUND(I209*(1-'상품표'!$G$4),0))</f>
        <v/>
      </c>
      <c r="K209" s="20" t="str">
        <f t="shared" si="1"/>
        <v/>
      </c>
      <c r="L209" s="32" t="str">
        <f t="array" ref="L209">IF(C209="","",IF(ISNA(MATCH(C209,'상품표'!$A$4:$A$18,0)),"상품명 확인",IF(H209="","수량 입력",IF(FALSE,"",IF(INDEX('상품표'!$B$4:$B$18,MATCH(C209,'상품표'!$A$4:$A$18,0))="의류",IF(D209="","사이즈 선택",IF(AND(LEFT(C209,4)="후드집업",OR(D209="XXS",D209="XS")),"후드는 S부터",IF(COUNTA(E209:G209)&gt;0,"세트 옵션은 세트만","OK"))),IF(INDEX('상품표'!$B$4:$B$18,MATCH(C209,'상품표'!$A$4:$A$18,0))="세트",IF(COUNTA(E209:G209)&lt;3,"세트 옵션 선택",IF(D209&lt;&gt;"","사이즈 불필요","OK")),IF(COUNTA(E209:G209)&gt;0,"세트 옵션은 세트만",IF(D209&lt;&gt;"","사이즈 불필요","OK"))))))))</f>
        <v/>
      </c>
      <c r="M209" s="44"/>
      <c r="N209" s="45"/>
    </row>
    <row r="210" ht="15.75" customHeight="1">
      <c r="A210" s="32">
        <v>205.0</v>
      </c>
      <c r="B210" s="33"/>
      <c r="C210" s="33"/>
      <c r="D210" s="33"/>
      <c r="E210" s="33"/>
      <c r="F210" s="33"/>
      <c r="G210" s="33"/>
      <c r="H210" s="33"/>
      <c r="I210" s="20" t="str">
        <f t="array" ref="I210">IF(C210="","",IFERROR(INDEX('상품표'!$C$4:$C$18,MATCH(C210,'상품표'!$A$4:$A$18,0)),""))</f>
        <v/>
      </c>
      <c r="J210" s="20" t="str">
        <f>IF(I210="","",ROUND(I210*(1-'상품표'!$G$4),0))</f>
        <v/>
      </c>
      <c r="K210" s="20" t="str">
        <f t="shared" si="1"/>
        <v/>
      </c>
      <c r="L210" s="32" t="str">
        <f t="array" ref="L210">IF(C210="","",IF(ISNA(MATCH(C210,'상품표'!$A$4:$A$18,0)),"상품명 확인",IF(H210="","수량 입력",IF(FALSE,"",IF(INDEX('상품표'!$B$4:$B$18,MATCH(C210,'상품표'!$A$4:$A$18,0))="의류",IF(D210="","사이즈 선택",IF(AND(LEFT(C210,4)="후드집업",OR(D210="XXS",D210="XS")),"후드는 S부터",IF(COUNTA(E210:G210)&gt;0,"세트 옵션은 세트만","OK"))),IF(INDEX('상품표'!$B$4:$B$18,MATCH(C210,'상품표'!$A$4:$A$18,0))="세트",IF(COUNTA(E210:G210)&lt;3,"세트 옵션 선택",IF(D210&lt;&gt;"","사이즈 불필요","OK")),IF(COUNTA(E210:G210)&gt;0,"세트 옵션은 세트만",IF(D210&lt;&gt;"","사이즈 불필요","OK"))))))))</f>
        <v/>
      </c>
      <c r="M210" s="44"/>
      <c r="N210" s="45"/>
    </row>
    <row r="211" ht="15.75" customHeight="1">
      <c r="A211" s="32">
        <v>206.0</v>
      </c>
      <c r="B211" s="33"/>
      <c r="C211" s="33"/>
      <c r="D211" s="33"/>
      <c r="E211" s="33"/>
      <c r="F211" s="33"/>
      <c r="G211" s="33"/>
      <c r="H211" s="33"/>
      <c r="I211" s="20" t="str">
        <f t="array" ref="I211">IF(C211="","",IFERROR(INDEX('상품표'!$C$4:$C$18,MATCH(C211,'상품표'!$A$4:$A$18,0)),""))</f>
        <v/>
      </c>
      <c r="J211" s="20" t="str">
        <f>IF(I211="","",ROUND(I211*(1-'상품표'!$G$4),0))</f>
        <v/>
      </c>
      <c r="K211" s="20" t="str">
        <f t="shared" si="1"/>
        <v/>
      </c>
      <c r="L211" s="32" t="str">
        <f t="array" ref="L211">IF(C211="","",IF(ISNA(MATCH(C211,'상품표'!$A$4:$A$18,0)),"상품명 확인",IF(H211="","수량 입력",IF(FALSE,"",IF(INDEX('상품표'!$B$4:$B$18,MATCH(C211,'상품표'!$A$4:$A$18,0))="의류",IF(D211="","사이즈 선택",IF(AND(LEFT(C211,4)="후드집업",OR(D211="XXS",D211="XS")),"후드는 S부터",IF(COUNTA(E211:G211)&gt;0,"세트 옵션은 세트만","OK"))),IF(INDEX('상품표'!$B$4:$B$18,MATCH(C211,'상품표'!$A$4:$A$18,0))="세트",IF(COUNTA(E211:G211)&lt;3,"세트 옵션 선택",IF(D211&lt;&gt;"","사이즈 불필요","OK")),IF(COUNTA(E211:G211)&gt;0,"세트 옵션은 세트만",IF(D211&lt;&gt;"","사이즈 불필요","OK"))))))))</f>
        <v/>
      </c>
      <c r="M211" s="44"/>
      <c r="N211" s="45"/>
    </row>
    <row r="212" ht="15.75" customHeight="1">
      <c r="A212" s="32">
        <v>207.0</v>
      </c>
      <c r="B212" s="33"/>
      <c r="C212" s="33"/>
      <c r="D212" s="33"/>
      <c r="E212" s="33"/>
      <c r="F212" s="33"/>
      <c r="G212" s="33"/>
      <c r="H212" s="33"/>
      <c r="I212" s="20" t="str">
        <f t="array" ref="I212">IF(C212="","",IFERROR(INDEX('상품표'!$C$4:$C$18,MATCH(C212,'상품표'!$A$4:$A$18,0)),""))</f>
        <v/>
      </c>
      <c r="J212" s="20" t="str">
        <f>IF(I212="","",ROUND(I212*(1-'상품표'!$G$4),0))</f>
        <v/>
      </c>
      <c r="K212" s="20" t="str">
        <f t="shared" si="1"/>
        <v/>
      </c>
      <c r="L212" s="32" t="str">
        <f t="array" ref="L212">IF(C212="","",IF(ISNA(MATCH(C212,'상품표'!$A$4:$A$18,0)),"상품명 확인",IF(H212="","수량 입력",IF(FALSE,"",IF(INDEX('상품표'!$B$4:$B$18,MATCH(C212,'상품표'!$A$4:$A$18,0))="의류",IF(D212="","사이즈 선택",IF(AND(LEFT(C212,4)="후드집업",OR(D212="XXS",D212="XS")),"후드는 S부터",IF(COUNTA(E212:G212)&gt;0,"세트 옵션은 세트만","OK"))),IF(INDEX('상품표'!$B$4:$B$18,MATCH(C212,'상품표'!$A$4:$A$18,0))="세트",IF(COUNTA(E212:G212)&lt;3,"세트 옵션 선택",IF(D212&lt;&gt;"","사이즈 불필요","OK")),IF(COUNTA(E212:G212)&gt;0,"세트 옵션은 세트만",IF(D212&lt;&gt;"","사이즈 불필요","OK"))))))))</f>
        <v/>
      </c>
      <c r="M212" s="44"/>
      <c r="N212" s="45"/>
    </row>
    <row r="213" ht="15.75" customHeight="1">
      <c r="A213" s="32">
        <v>208.0</v>
      </c>
      <c r="B213" s="33"/>
      <c r="C213" s="33"/>
      <c r="D213" s="33"/>
      <c r="E213" s="33"/>
      <c r="F213" s="33"/>
      <c r="G213" s="33"/>
      <c r="H213" s="33"/>
      <c r="I213" s="20" t="str">
        <f t="array" ref="I213">IF(C213="","",IFERROR(INDEX('상품표'!$C$4:$C$18,MATCH(C213,'상품표'!$A$4:$A$18,0)),""))</f>
        <v/>
      </c>
      <c r="J213" s="20" t="str">
        <f>IF(I213="","",ROUND(I213*(1-'상품표'!$G$4),0))</f>
        <v/>
      </c>
      <c r="K213" s="20" t="str">
        <f t="shared" si="1"/>
        <v/>
      </c>
      <c r="L213" s="32" t="str">
        <f t="array" ref="L213">IF(C213="","",IF(ISNA(MATCH(C213,'상품표'!$A$4:$A$18,0)),"상품명 확인",IF(H213="","수량 입력",IF(FALSE,"",IF(INDEX('상품표'!$B$4:$B$18,MATCH(C213,'상품표'!$A$4:$A$18,0))="의류",IF(D213="","사이즈 선택",IF(AND(LEFT(C213,4)="후드집업",OR(D213="XXS",D213="XS")),"후드는 S부터",IF(COUNTA(E213:G213)&gt;0,"세트 옵션은 세트만","OK"))),IF(INDEX('상품표'!$B$4:$B$18,MATCH(C213,'상품표'!$A$4:$A$18,0))="세트",IF(COUNTA(E213:G213)&lt;3,"세트 옵션 선택",IF(D213&lt;&gt;"","사이즈 불필요","OK")),IF(COUNTA(E213:G213)&gt;0,"세트 옵션은 세트만",IF(D213&lt;&gt;"","사이즈 불필요","OK"))))))))</f>
        <v/>
      </c>
      <c r="M213" s="44"/>
      <c r="N213" s="45"/>
    </row>
    <row r="214" ht="15.75" customHeight="1">
      <c r="A214" s="32">
        <v>209.0</v>
      </c>
      <c r="B214" s="33"/>
      <c r="C214" s="33"/>
      <c r="D214" s="33"/>
      <c r="E214" s="33"/>
      <c r="F214" s="33"/>
      <c r="G214" s="33"/>
      <c r="H214" s="33"/>
      <c r="I214" s="20" t="str">
        <f t="array" ref="I214">IF(C214="","",IFERROR(INDEX('상품표'!$C$4:$C$18,MATCH(C214,'상품표'!$A$4:$A$18,0)),""))</f>
        <v/>
      </c>
      <c r="J214" s="20" t="str">
        <f>IF(I214="","",ROUND(I214*(1-'상품표'!$G$4),0))</f>
        <v/>
      </c>
      <c r="K214" s="20" t="str">
        <f t="shared" si="1"/>
        <v/>
      </c>
      <c r="L214" s="32" t="str">
        <f t="array" ref="L214">IF(C214="","",IF(ISNA(MATCH(C214,'상품표'!$A$4:$A$18,0)),"상품명 확인",IF(H214="","수량 입력",IF(FALSE,"",IF(INDEX('상품표'!$B$4:$B$18,MATCH(C214,'상품표'!$A$4:$A$18,0))="의류",IF(D214="","사이즈 선택",IF(AND(LEFT(C214,4)="후드집업",OR(D214="XXS",D214="XS")),"후드는 S부터",IF(COUNTA(E214:G214)&gt;0,"세트 옵션은 세트만","OK"))),IF(INDEX('상품표'!$B$4:$B$18,MATCH(C214,'상품표'!$A$4:$A$18,0))="세트",IF(COUNTA(E214:G214)&lt;3,"세트 옵션 선택",IF(D214&lt;&gt;"","사이즈 불필요","OK")),IF(COUNTA(E214:G214)&gt;0,"세트 옵션은 세트만",IF(D214&lt;&gt;"","사이즈 불필요","OK"))))))))</f>
        <v/>
      </c>
      <c r="M214" s="44"/>
      <c r="N214" s="45"/>
    </row>
    <row r="215" ht="15.75" customHeight="1">
      <c r="A215" s="32">
        <v>210.0</v>
      </c>
      <c r="B215" s="33"/>
      <c r="C215" s="33"/>
      <c r="D215" s="33"/>
      <c r="E215" s="33"/>
      <c r="F215" s="33"/>
      <c r="G215" s="33"/>
      <c r="H215" s="33"/>
      <c r="I215" s="20" t="str">
        <f t="array" ref="I215">IF(C215="","",IFERROR(INDEX('상품표'!$C$4:$C$18,MATCH(C215,'상품표'!$A$4:$A$18,0)),""))</f>
        <v/>
      </c>
      <c r="J215" s="20" t="str">
        <f>IF(I215="","",ROUND(I215*(1-'상품표'!$G$4),0))</f>
        <v/>
      </c>
      <c r="K215" s="20" t="str">
        <f t="shared" si="1"/>
        <v/>
      </c>
      <c r="L215" s="32" t="str">
        <f t="array" ref="L215">IF(C215="","",IF(ISNA(MATCH(C215,'상품표'!$A$4:$A$18,0)),"상품명 확인",IF(H215="","수량 입력",IF(FALSE,"",IF(INDEX('상품표'!$B$4:$B$18,MATCH(C215,'상품표'!$A$4:$A$18,0))="의류",IF(D215="","사이즈 선택",IF(AND(LEFT(C215,4)="후드집업",OR(D215="XXS",D215="XS")),"후드는 S부터",IF(COUNTA(E215:G215)&gt;0,"세트 옵션은 세트만","OK"))),IF(INDEX('상품표'!$B$4:$B$18,MATCH(C215,'상품표'!$A$4:$A$18,0))="세트",IF(COUNTA(E215:G215)&lt;3,"세트 옵션 선택",IF(D215&lt;&gt;"","사이즈 불필요","OK")),IF(COUNTA(E215:G215)&gt;0,"세트 옵션은 세트만",IF(D215&lt;&gt;"","사이즈 불필요","OK"))))))))</f>
        <v/>
      </c>
      <c r="M215" s="44"/>
      <c r="N215" s="45"/>
    </row>
    <row r="216" ht="15.75" customHeight="1">
      <c r="A216" s="32">
        <v>211.0</v>
      </c>
      <c r="B216" s="33"/>
      <c r="C216" s="33"/>
      <c r="D216" s="33"/>
      <c r="E216" s="33"/>
      <c r="F216" s="33"/>
      <c r="G216" s="33"/>
      <c r="H216" s="33"/>
      <c r="I216" s="20" t="str">
        <f t="array" ref="I216">IF(C216="","",IFERROR(INDEX('상품표'!$C$4:$C$18,MATCH(C216,'상품표'!$A$4:$A$18,0)),""))</f>
        <v/>
      </c>
      <c r="J216" s="20" t="str">
        <f>IF(I216="","",ROUND(I216*(1-'상품표'!$G$4),0))</f>
        <v/>
      </c>
      <c r="K216" s="20" t="str">
        <f t="shared" si="1"/>
        <v/>
      </c>
      <c r="L216" s="32" t="str">
        <f t="array" ref="L216">IF(C216="","",IF(ISNA(MATCH(C216,'상품표'!$A$4:$A$18,0)),"상품명 확인",IF(H216="","수량 입력",IF(FALSE,"",IF(INDEX('상품표'!$B$4:$B$18,MATCH(C216,'상품표'!$A$4:$A$18,0))="의류",IF(D216="","사이즈 선택",IF(AND(LEFT(C216,4)="후드집업",OR(D216="XXS",D216="XS")),"후드는 S부터",IF(COUNTA(E216:G216)&gt;0,"세트 옵션은 세트만","OK"))),IF(INDEX('상품표'!$B$4:$B$18,MATCH(C216,'상품표'!$A$4:$A$18,0))="세트",IF(COUNTA(E216:G216)&lt;3,"세트 옵션 선택",IF(D216&lt;&gt;"","사이즈 불필요","OK")),IF(COUNTA(E216:G216)&gt;0,"세트 옵션은 세트만",IF(D216&lt;&gt;"","사이즈 불필요","OK"))))))))</f>
        <v/>
      </c>
      <c r="M216" s="44"/>
      <c r="N216" s="45"/>
    </row>
    <row r="217" ht="15.75" customHeight="1">
      <c r="A217" s="32">
        <v>212.0</v>
      </c>
      <c r="B217" s="33"/>
      <c r="C217" s="33"/>
      <c r="D217" s="33"/>
      <c r="E217" s="33"/>
      <c r="F217" s="33"/>
      <c r="G217" s="33"/>
      <c r="H217" s="33"/>
      <c r="I217" s="20" t="str">
        <f t="array" ref="I217">IF(C217="","",IFERROR(INDEX('상품표'!$C$4:$C$18,MATCH(C217,'상품표'!$A$4:$A$18,0)),""))</f>
        <v/>
      </c>
      <c r="J217" s="20" t="str">
        <f>IF(I217="","",ROUND(I217*(1-'상품표'!$G$4),0))</f>
        <v/>
      </c>
      <c r="K217" s="20" t="str">
        <f t="shared" si="1"/>
        <v/>
      </c>
      <c r="L217" s="32" t="str">
        <f t="array" ref="L217">IF(C217="","",IF(ISNA(MATCH(C217,'상품표'!$A$4:$A$18,0)),"상품명 확인",IF(H217="","수량 입력",IF(FALSE,"",IF(INDEX('상품표'!$B$4:$B$18,MATCH(C217,'상품표'!$A$4:$A$18,0))="의류",IF(D217="","사이즈 선택",IF(AND(LEFT(C217,4)="후드집업",OR(D217="XXS",D217="XS")),"후드는 S부터",IF(COUNTA(E217:G217)&gt;0,"세트 옵션은 세트만","OK"))),IF(INDEX('상품표'!$B$4:$B$18,MATCH(C217,'상품표'!$A$4:$A$18,0))="세트",IF(COUNTA(E217:G217)&lt;3,"세트 옵션 선택",IF(D217&lt;&gt;"","사이즈 불필요","OK")),IF(COUNTA(E217:G217)&gt;0,"세트 옵션은 세트만",IF(D217&lt;&gt;"","사이즈 불필요","OK"))))))))</f>
        <v/>
      </c>
      <c r="M217" s="44"/>
      <c r="N217" s="45"/>
    </row>
    <row r="218" ht="15.75" customHeight="1">
      <c r="A218" s="32">
        <v>213.0</v>
      </c>
      <c r="B218" s="33"/>
      <c r="C218" s="33"/>
      <c r="D218" s="33"/>
      <c r="E218" s="33"/>
      <c r="F218" s="33"/>
      <c r="G218" s="33"/>
      <c r="H218" s="33"/>
      <c r="I218" s="20" t="str">
        <f t="array" ref="I218">IF(C218="","",IFERROR(INDEX('상품표'!$C$4:$C$18,MATCH(C218,'상품표'!$A$4:$A$18,0)),""))</f>
        <v/>
      </c>
      <c r="J218" s="20" t="str">
        <f>IF(I218="","",ROUND(I218*(1-'상품표'!$G$4),0))</f>
        <v/>
      </c>
      <c r="K218" s="20" t="str">
        <f t="shared" si="1"/>
        <v/>
      </c>
      <c r="L218" s="32" t="str">
        <f t="array" ref="L218">IF(C218="","",IF(ISNA(MATCH(C218,'상품표'!$A$4:$A$18,0)),"상품명 확인",IF(H218="","수량 입력",IF(FALSE,"",IF(INDEX('상품표'!$B$4:$B$18,MATCH(C218,'상품표'!$A$4:$A$18,0))="의류",IF(D218="","사이즈 선택",IF(AND(LEFT(C218,4)="후드집업",OR(D218="XXS",D218="XS")),"후드는 S부터",IF(COUNTA(E218:G218)&gt;0,"세트 옵션은 세트만","OK"))),IF(INDEX('상품표'!$B$4:$B$18,MATCH(C218,'상품표'!$A$4:$A$18,0))="세트",IF(COUNTA(E218:G218)&lt;3,"세트 옵션 선택",IF(D218&lt;&gt;"","사이즈 불필요","OK")),IF(COUNTA(E218:G218)&gt;0,"세트 옵션은 세트만",IF(D218&lt;&gt;"","사이즈 불필요","OK"))))))))</f>
        <v/>
      </c>
      <c r="M218" s="44"/>
      <c r="N218" s="45"/>
    </row>
    <row r="219" ht="15.75" customHeight="1">
      <c r="A219" s="32">
        <v>214.0</v>
      </c>
      <c r="B219" s="33"/>
      <c r="C219" s="33"/>
      <c r="D219" s="33"/>
      <c r="E219" s="33"/>
      <c r="F219" s="33"/>
      <c r="G219" s="33"/>
      <c r="H219" s="33"/>
      <c r="I219" s="20" t="str">
        <f t="array" ref="I219">IF(C219="","",IFERROR(INDEX('상품표'!$C$4:$C$18,MATCH(C219,'상품표'!$A$4:$A$18,0)),""))</f>
        <v/>
      </c>
      <c r="J219" s="20" t="str">
        <f>IF(I219="","",ROUND(I219*(1-'상품표'!$G$4),0))</f>
        <v/>
      </c>
      <c r="K219" s="20" t="str">
        <f t="shared" si="1"/>
        <v/>
      </c>
      <c r="L219" s="32" t="str">
        <f t="array" ref="L219">IF(C219="","",IF(ISNA(MATCH(C219,'상품표'!$A$4:$A$18,0)),"상품명 확인",IF(H219="","수량 입력",IF(FALSE,"",IF(INDEX('상품표'!$B$4:$B$18,MATCH(C219,'상품표'!$A$4:$A$18,0))="의류",IF(D219="","사이즈 선택",IF(AND(LEFT(C219,4)="후드집업",OR(D219="XXS",D219="XS")),"후드는 S부터",IF(COUNTA(E219:G219)&gt;0,"세트 옵션은 세트만","OK"))),IF(INDEX('상품표'!$B$4:$B$18,MATCH(C219,'상품표'!$A$4:$A$18,0))="세트",IF(COUNTA(E219:G219)&lt;3,"세트 옵션 선택",IF(D219&lt;&gt;"","사이즈 불필요","OK")),IF(COUNTA(E219:G219)&gt;0,"세트 옵션은 세트만",IF(D219&lt;&gt;"","사이즈 불필요","OK"))))))))</f>
        <v/>
      </c>
      <c r="M219" s="44"/>
      <c r="N219" s="45"/>
    </row>
    <row r="220" ht="15.75" customHeight="1">
      <c r="A220" s="32">
        <v>215.0</v>
      </c>
      <c r="B220" s="33"/>
      <c r="C220" s="33"/>
      <c r="D220" s="33"/>
      <c r="E220" s="33"/>
      <c r="F220" s="33"/>
      <c r="G220" s="33"/>
      <c r="H220" s="33"/>
      <c r="I220" s="20" t="str">
        <f t="array" ref="I220">IF(C220="","",IFERROR(INDEX('상품표'!$C$4:$C$18,MATCH(C220,'상품표'!$A$4:$A$18,0)),""))</f>
        <v/>
      </c>
      <c r="J220" s="20" t="str">
        <f>IF(I220="","",ROUND(I220*(1-'상품표'!$G$4),0))</f>
        <v/>
      </c>
      <c r="K220" s="20" t="str">
        <f t="shared" si="1"/>
        <v/>
      </c>
      <c r="L220" s="32" t="str">
        <f t="array" ref="L220">IF(C220="","",IF(ISNA(MATCH(C220,'상품표'!$A$4:$A$18,0)),"상품명 확인",IF(H220="","수량 입력",IF(FALSE,"",IF(INDEX('상품표'!$B$4:$B$18,MATCH(C220,'상품표'!$A$4:$A$18,0))="의류",IF(D220="","사이즈 선택",IF(AND(LEFT(C220,4)="후드집업",OR(D220="XXS",D220="XS")),"후드는 S부터",IF(COUNTA(E220:G220)&gt;0,"세트 옵션은 세트만","OK"))),IF(INDEX('상품표'!$B$4:$B$18,MATCH(C220,'상품표'!$A$4:$A$18,0))="세트",IF(COUNTA(E220:G220)&lt;3,"세트 옵션 선택",IF(D220&lt;&gt;"","사이즈 불필요","OK")),IF(COUNTA(E220:G220)&gt;0,"세트 옵션은 세트만",IF(D220&lt;&gt;"","사이즈 불필요","OK"))))))))</f>
        <v/>
      </c>
      <c r="M220" s="44"/>
      <c r="N220" s="45"/>
    </row>
    <row r="221" ht="15.75" customHeight="1">
      <c r="A221" s="32">
        <v>216.0</v>
      </c>
      <c r="B221" s="33"/>
      <c r="C221" s="33"/>
      <c r="D221" s="33"/>
      <c r="E221" s="33"/>
      <c r="F221" s="33"/>
      <c r="G221" s="33"/>
      <c r="H221" s="33"/>
      <c r="I221" s="20" t="str">
        <f t="array" ref="I221">IF(C221="","",IFERROR(INDEX('상품표'!$C$4:$C$18,MATCH(C221,'상품표'!$A$4:$A$18,0)),""))</f>
        <v/>
      </c>
      <c r="J221" s="20" t="str">
        <f>IF(I221="","",ROUND(I221*(1-'상품표'!$G$4),0))</f>
        <v/>
      </c>
      <c r="K221" s="20" t="str">
        <f t="shared" si="1"/>
        <v/>
      </c>
      <c r="L221" s="32" t="str">
        <f t="array" ref="L221">IF(C221="","",IF(ISNA(MATCH(C221,'상품표'!$A$4:$A$18,0)),"상품명 확인",IF(H221="","수량 입력",IF(FALSE,"",IF(INDEX('상품표'!$B$4:$B$18,MATCH(C221,'상품표'!$A$4:$A$18,0))="의류",IF(D221="","사이즈 선택",IF(AND(LEFT(C221,4)="후드집업",OR(D221="XXS",D221="XS")),"후드는 S부터",IF(COUNTA(E221:G221)&gt;0,"세트 옵션은 세트만","OK"))),IF(INDEX('상품표'!$B$4:$B$18,MATCH(C221,'상품표'!$A$4:$A$18,0))="세트",IF(COUNTA(E221:G221)&lt;3,"세트 옵션 선택",IF(D221&lt;&gt;"","사이즈 불필요","OK")),IF(COUNTA(E221:G221)&gt;0,"세트 옵션은 세트만",IF(D221&lt;&gt;"","사이즈 불필요","OK"))))))))</f>
        <v/>
      </c>
      <c r="M221" s="44"/>
      <c r="N221" s="45"/>
    </row>
    <row r="222" ht="15.75" customHeight="1">
      <c r="A222" s="32">
        <v>217.0</v>
      </c>
      <c r="B222" s="33"/>
      <c r="C222" s="33"/>
      <c r="D222" s="33"/>
      <c r="E222" s="33"/>
      <c r="F222" s="33"/>
      <c r="G222" s="33"/>
      <c r="H222" s="33"/>
      <c r="I222" s="20" t="str">
        <f t="array" ref="I222">IF(C222="","",IFERROR(INDEX('상품표'!$C$4:$C$18,MATCH(C222,'상품표'!$A$4:$A$18,0)),""))</f>
        <v/>
      </c>
      <c r="J222" s="20" t="str">
        <f>IF(I222="","",ROUND(I222*(1-'상품표'!$G$4),0))</f>
        <v/>
      </c>
      <c r="K222" s="20" t="str">
        <f t="shared" si="1"/>
        <v/>
      </c>
      <c r="L222" s="32" t="str">
        <f t="array" ref="L222">IF(C222="","",IF(ISNA(MATCH(C222,'상품표'!$A$4:$A$18,0)),"상품명 확인",IF(H222="","수량 입력",IF(FALSE,"",IF(INDEX('상품표'!$B$4:$B$18,MATCH(C222,'상품표'!$A$4:$A$18,0))="의류",IF(D222="","사이즈 선택",IF(AND(LEFT(C222,4)="후드집업",OR(D222="XXS",D222="XS")),"후드는 S부터",IF(COUNTA(E222:G222)&gt;0,"세트 옵션은 세트만","OK"))),IF(INDEX('상품표'!$B$4:$B$18,MATCH(C222,'상품표'!$A$4:$A$18,0))="세트",IF(COUNTA(E222:G222)&lt;3,"세트 옵션 선택",IF(D222&lt;&gt;"","사이즈 불필요","OK")),IF(COUNTA(E222:G222)&gt;0,"세트 옵션은 세트만",IF(D222&lt;&gt;"","사이즈 불필요","OK"))))))))</f>
        <v/>
      </c>
      <c r="M222" s="44"/>
      <c r="N222" s="45"/>
    </row>
    <row r="223" ht="15.75" customHeight="1">
      <c r="A223" s="32">
        <v>218.0</v>
      </c>
      <c r="B223" s="33"/>
      <c r="C223" s="33"/>
      <c r="D223" s="33"/>
      <c r="E223" s="33"/>
      <c r="F223" s="33"/>
      <c r="G223" s="33"/>
      <c r="H223" s="33"/>
      <c r="I223" s="20" t="str">
        <f t="array" ref="I223">IF(C223="","",IFERROR(INDEX('상품표'!$C$4:$C$18,MATCH(C223,'상품표'!$A$4:$A$18,0)),""))</f>
        <v/>
      </c>
      <c r="J223" s="20" t="str">
        <f>IF(I223="","",ROUND(I223*(1-'상품표'!$G$4),0))</f>
        <v/>
      </c>
      <c r="K223" s="20" t="str">
        <f t="shared" si="1"/>
        <v/>
      </c>
      <c r="L223" s="32" t="str">
        <f t="array" ref="L223">IF(C223="","",IF(ISNA(MATCH(C223,'상품표'!$A$4:$A$18,0)),"상품명 확인",IF(H223="","수량 입력",IF(FALSE,"",IF(INDEX('상품표'!$B$4:$B$18,MATCH(C223,'상품표'!$A$4:$A$18,0))="의류",IF(D223="","사이즈 선택",IF(AND(LEFT(C223,4)="후드집업",OR(D223="XXS",D223="XS")),"후드는 S부터",IF(COUNTA(E223:G223)&gt;0,"세트 옵션은 세트만","OK"))),IF(INDEX('상품표'!$B$4:$B$18,MATCH(C223,'상품표'!$A$4:$A$18,0))="세트",IF(COUNTA(E223:G223)&lt;3,"세트 옵션 선택",IF(D223&lt;&gt;"","사이즈 불필요","OK")),IF(COUNTA(E223:G223)&gt;0,"세트 옵션은 세트만",IF(D223&lt;&gt;"","사이즈 불필요","OK"))))))))</f>
        <v/>
      </c>
      <c r="M223" s="44"/>
      <c r="N223" s="45"/>
    </row>
    <row r="224" ht="15.75" customHeight="1">
      <c r="A224" s="32">
        <v>219.0</v>
      </c>
      <c r="B224" s="33"/>
      <c r="C224" s="33"/>
      <c r="D224" s="33"/>
      <c r="E224" s="33"/>
      <c r="F224" s="33"/>
      <c r="G224" s="33"/>
      <c r="H224" s="33"/>
      <c r="I224" s="20" t="str">
        <f t="array" ref="I224">IF(C224="","",IFERROR(INDEX('상품표'!$C$4:$C$18,MATCH(C224,'상품표'!$A$4:$A$18,0)),""))</f>
        <v/>
      </c>
      <c r="J224" s="20" t="str">
        <f>IF(I224="","",ROUND(I224*(1-'상품표'!$G$4),0))</f>
        <v/>
      </c>
      <c r="K224" s="20" t="str">
        <f t="shared" si="1"/>
        <v/>
      </c>
      <c r="L224" s="32" t="str">
        <f t="array" ref="L224">IF(C224="","",IF(ISNA(MATCH(C224,'상품표'!$A$4:$A$18,0)),"상품명 확인",IF(H224="","수량 입력",IF(FALSE,"",IF(INDEX('상품표'!$B$4:$B$18,MATCH(C224,'상품표'!$A$4:$A$18,0))="의류",IF(D224="","사이즈 선택",IF(AND(LEFT(C224,4)="후드집업",OR(D224="XXS",D224="XS")),"후드는 S부터",IF(COUNTA(E224:G224)&gt;0,"세트 옵션은 세트만","OK"))),IF(INDEX('상품표'!$B$4:$B$18,MATCH(C224,'상품표'!$A$4:$A$18,0))="세트",IF(COUNTA(E224:G224)&lt;3,"세트 옵션 선택",IF(D224&lt;&gt;"","사이즈 불필요","OK")),IF(COUNTA(E224:G224)&gt;0,"세트 옵션은 세트만",IF(D224&lt;&gt;"","사이즈 불필요","OK"))))))))</f>
        <v/>
      </c>
      <c r="M224" s="44"/>
      <c r="N224" s="45"/>
    </row>
    <row r="225" ht="15.75" customHeight="1">
      <c r="A225" s="32">
        <v>220.0</v>
      </c>
      <c r="B225" s="33"/>
      <c r="C225" s="33"/>
      <c r="D225" s="33"/>
      <c r="E225" s="33"/>
      <c r="F225" s="33"/>
      <c r="G225" s="33"/>
      <c r="H225" s="33"/>
      <c r="I225" s="20" t="str">
        <f t="array" ref="I225">IF(C225="","",IFERROR(INDEX('상품표'!$C$4:$C$18,MATCH(C225,'상품표'!$A$4:$A$18,0)),""))</f>
        <v/>
      </c>
      <c r="J225" s="20" t="str">
        <f>IF(I225="","",ROUND(I225*(1-'상품표'!$G$4),0))</f>
        <v/>
      </c>
      <c r="K225" s="20" t="str">
        <f t="shared" si="1"/>
        <v/>
      </c>
      <c r="L225" s="32" t="str">
        <f t="array" ref="L225">IF(C225="","",IF(ISNA(MATCH(C225,'상품표'!$A$4:$A$18,0)),"상품명 확인",IF(H225="","수량 입력",IF(FALSE,"",IF(INDEX('상품표'!$B$4:$B$18,MATCH(C225,'상품표'!$A$4:$A$18,0))="의류",IF(D225="","사이즈 선택",IF(AND(LEFT(C225,4)="후드집업",OR(D225="XXS",D225="XS")),"후드는 S부터",IF(COUNTA(E225:G225)&gt;0,"세트 옵션은 세트만","OK"))),IF(INDEX('상품표'!$B$4:$B$18,MATCH(C225,'상품표'!$A$4:$A$18,0))="세트",IF(COUNTA(E225:G225)&lt;3,"세트 옵션 선택",IF(D225&lt;&gt;"","사이즈 불필요","OK")),IF(COUNTA(E225:G225)&gt;0,"세트 옵션은 세트만",IF(D225&lt;&gt;"","사이즈 불필요","OK"))))))))</f>
        <v/>
      </c>
      <c r="M225" s="44"/>
      <c r="N225" s="45"/>
    </row>
    <row r="226" ht="15.75" customHeight="1">
      <c r="A226" s="32">
        <v>221.0</v>
      </c>
      <c r="B226" s="33"/>
      <c r="C226" s="33"/>
      <c r="D226" s="33"/>
      <c r="E226" s="33"/>
      <c r="F226" s="33"/>
      <c r="G226" s="33"/>
      <c r="H226" s="33"/>
      <c r="I226" s="20" t="str">
        <f t="array" ref="I226">IF(C226="","",IFERROR(INDEX('상품표'!$C$4:$C$18,MATCH(C226,'상품표'!$A$4:$A$18,0)),""))</f>
        <v/>
      </c>
      <c r="J226" s="20" t="str">
        <f>IF(I226="","",ROUND(I226*(1-'상품표'!$G$4),0))</f>
        <v/>
      </c>
      <c r="K226" s="20" t="str">
        <f t="shared" si="1"/>
        <v/>
      </c>
      <c r="L226" s="32" t="str">
        <f t="array" ref="L226">IF(C226="","",IF(ISNA(MATCH(C226,'상품표'!$A$4:$A$18,0)),"상품명 확인",IF(H226="","수량 입력",IF(FALSE,"",IF(INDEX('상품표'!$B$4:$B$18,MATCH(C226,'상품표'!$A$4:$A$18,0))="의류",IF(D226="","사이즈 선택",IF(AND(LEFT(C226,4)="후드집업",OR(D226="XXS",D226="XS")),"후드는 S부터",IF(COUNTA(E226:G226)&gt;0,"세트 옵션은 세트만","OK"))),IF(INDEX('상품표'!$B$4:$B$18,MATCH(C226,'상품표'!$A$4:$A$18,0))="세트",IF(COUNTA(E226:G226)&lt;3,"세트 옵션 선택",IF(D226&lt;&gt;"","사이즈 불필요","OK")),IF(COUNTA(E226:G226)&gt;0,"세트 옵션은 세트만",IF(D226&lt;&gt;"","사이즈 불필요","OK"))))))))</f>
        <v/>
      </c>
      <c r="M226" s="44"/>
      <c r="N226" s="45"/>
    </row>
    <row r="227" ht="15.75" customHeight="1">
      <c r="A227" s="32">
        <v>222.0</v>
      </c>
      <c r="B227" s="33"/>
      <c r="C227" s="33"/>
      <c r="D227" s="33"/>
      <c r="E227" s="33"/>
      <c r="F227" s="33"/>
      <c r="G227" s="33"/>
      <c r="H227" s="33"/>
      <c r="I227" s="20" t="str">
        <f t="array" ref="I227">IF(C227="","",IFERROR(INDEX('상품표'!$C$4:$C$18,MATCH(C227,'상품표'!$A$4:$A$18,0)),""))</f>
        <v/>
      </c>
      <c r="J227" s="20" t="str">
        <f>IF(I227="","",ROUND(I227*(1-'상품표'!$G$4),0))</f>
        <v/>
      </c>
      <c r="K227" s="20" t="str">
        <f t="shared" si="1"/>
        <v/>
      </c>
      <c r="L227" s="32" t="str">
        <f t="array" ref="L227">IF(C227="","",IF(ISNA(MATCH(C227,'상품표'!$A$4:$A$18,0)),"상품명 확인",IF(H227="","수량 입력",IF(FALSE,"",IF(INDEX('상품표'!$B$4:$B$18,MATCH(C227,'상품표'!$A$4:$A$18,0))="의류",IF(D227="","사이즈 선택",IF(AND(LEFT(C227,4)="후드집업",OR(D227="XXS",D227="XS")),"후드는 S부터",IF(COUNTA(E227:G227)&gt;0,"세트 옵션은 세트만","OK"))),IF(INDEX('상품표'!$B$4:$B$18,MATCH(C227,'상품표'!$A$4:$A$18,0))="세트",IF(COUNTA(E227:G227)&lt;3,"세트 옵션 선택",IF(D227&lt;&gt;"","사이즈 불필요","OK")),IF(COUNTA(E227:G227)&gt;0,"세트 옵션은 세트만",IF(D227&lt;&gt;"","사이즈 불필요","OK"))))))))</f>
        <v/>
      </c>
      <c r="M227" s="44"/>
      <c r="N227" s="45"/>
    </row>
    <row r="228" ht="15.75" customHeight="1">
      <c r="A228" s="32">
        <v>223.0</v>
      </c>
      <c r="B228" s="33"/>
      <c r="C228" s="33"/>
      <c r="D228" s="33"/>
      <c r="E228" s="33"/>
      <c r="F228" s="33"/>
      <c r="G228" s="33"/>
      <c r="H228" s="33"/>
      <c r="I228" s="20" t="str">
        <f t="array" ref="I228">IF(C228="","",IFERROR(INDEX('상품표'!$C$4:$C$18,MATCH(C228,'상품표'!$A$4:$A$18,0)),""))</f>
        <v/>
      </c>
      <c r="J228" s="20" t="str">
        <f>IF(I228="","",ROUND(I228*(1-'상품표'!$G$4),0))</f>
        <v/>
      </c>
      <c r="K228" s="20" t="str">
        <f t="shared" si="1"/>
        <v/>
      </c>
      <c r="L228" s="32" t="str">
        <f t="array" ref="L228">IF(C228="","",IF(ISNA(MATCH(C228,'상품표'!$A$4:$A$18,0)),"상품명 확인",IF(H228="","수량 입력",IF(FALSE,"",IF(INDEX('상품표'!$B$4:$B$18,MATCH(C228,'상품표'!$A$4:$A$18,0))="의류",IF(D228="","사이즈 선택",IF(AND(LEFT(C228,4)="후드집업",OR(D228="XXS",D228="XS")),"후드는 S부터",IF(COUNTA(E228:G228)&gt;0,"세트 옵션은 세트만","OK"))),IF(INDEX('상품표'!$B$4:$B$18,MATCH(C228,'상품표'!$A$4:$A$18,0))="세트",IF(COUNTA(E228:G228)&lt;3,"세트 옵션 선택",IF(D228&lt;&gt;"","사이즈 불필요","OK")),IF(COUNTA(E228:G228)&gt;0,"세트 옵션은 세트만",IF(D228&lt;&gt;"","사이즈 불필요","OK"))))))))</f>
        <v/>
      </c>
      <c r="M228" s="44"/>
      <c r="N228" s="45"/>
    </row>
    <row r="229" ht="15.75" customHeight="1">
      <c r="A229" s="32">
        <v>224.0</v>
      </c>
      <c r="B229" s="33"/>
      <c r="C229" s="33"/>
      <c r="D229" s="33"/>
      <c r="E229" s="33"/>
      <c r="F229" s="33"/>
      <c r="G229" s="33"/>
      <c r="H229" s="33"/>
      <c r="I229" s="20" t="str">
        <f t="array" ref="I229">IF(C229="","",IFERROR(INDEX('상품표'!$C$4:$C$18,MATCH(C229,'상품표'!$A$4:$A$18,0)),""))</f>
        <v/>
      </c>
      <c r="J229" s="20" t="str">
        <f>IF(I229="","",ROUND(I229*(1-'상품표'!$G$4),0))</f>
        <v/>
      </c>
      <c r="K229" s="20" t="str">
        <f t="shared" si="1"/>
        <v/>
      </c>
      <c r="L229" s="32" t="str">
        <f t="array" ref="L229">IF(C229="","",IF(ISNA(MATCH(C229,'상품표'!$A$4:$A$18,0)),"상품명 확인",IF(H229="","수량 입력",IF(FALSE,"",IF(INDEX('상품표'!$B$4:$B$18,MATCH(C229,'상품표'!$A$4:$A$18,0))="의류",IF(D229="","사이즈 선택",IF(AND(LEFT(C229,4)="후드집업",OR(D229="XXS",D229="XS")),"후드는 S부터",IF(COUNTA(E229:G229)&gt;0,"세트 옵션은 세트만","OK"))),IF(INDEX('상품표'!$B$4:$B$18,MATCH(C229,'상품표'!$A$4:$A$18,0))="세트",IF(COUNTA(E229:G229)&lt;3,"세트 옵션 선택",IF(D229&lt;&gt;"","사이즈 불필요","OK")),IF(COUNTA(E229:G229)&gt;0,"세트 옵션은 세트만",IF(D229&lt;&gt;"","사이즈 불필요","OK"))))))))</f>
        <v/>
      </c>
      <c r="M229" s="44"/>
      <c r="N229" s="45"/>
    </row>
    <row r="230" ht="15.75" customHeight="1">
      <c r="A230" s="32">
        <v>225.0</v>
      </c>
      <c r="B230" s="33"/>
      <c r="C230" s="33"/>
      <c r="D230" s="33"/>
      <c r="E230" s="33"/>
      <c r="F230" s="33"/>
      <c r="G230" s="33"/>
      <c r="H230" s="33"/>
      <c r="I230" s="20" t="str">
        <f t="array" ref="I230">IF(C230="","",IFERROR(INDEX('상품표'!$C$4:$C$18,MATCH(C230,'상품표'!$A$4:$A$18,0)),""))</f>
        <v/>
      </c>
      <c r="J230" s="20" t="str">
        <f>IF(I230="","",ROUND(I230*(1-'상품표'!$G$4),0))</f>
        <v/>
      </c>
      <c r="K230" s="20" t="str">
        <f t="shared" si="1"/>
        <v/>
      </c>
      <c r="L230" s="32" t="str">
        <f t="array" ref="L230">IF(C230="","",IF(ISNA(MATCH(C230,'상품표'!$A$4:$A$18,0)),"상품명 확인",IF(H230="","수량 입력",IF(FALSE,"",IF(INDEX('상품표'!$B$4:$B$18,MATCH(C230,'상품표'!$A$4:$A$18,0))="의류",IF(D230="","사이즈 선택",IF(AND(LEFT(C230,4)="후드집업",OR(D230="XXS",D230="XS")),"후드는 S부터",IF(COUNTA(E230:G230)&gt;0,"세트 옵션은 세트만","OK"))),IF(INDEX('상품표'!$B$4:$B$18,MATCH(C230,'상품표'!$A$4:$A$18,0))="세트",IF(COUNTA(E230:G230)&lt;3,"세트 옵션 선택",IF(D230&lt;&gt;"","사이즈 불필요","OK")),IF(COUNTA(E230:G230)&gt;0,"세트 옵션은 세트만",IF(D230&lt;&gt;"","사이즈 불필요","OK"))))))))</f>
        <v/>
      </c>
      <c r="M230" s="44"/>
      <c r="N230" s="45"/>
    </row>
    <row r="231" ht="15.75" customHeight="1">
      <c r="A231" s="32">
        <v>226.0</v>
      </c>
      <c r="B231" s="33"/>
      <c r="C231" s="33"/>
      <c r="D231" s="33"/>
      <c r="E231" s="33"/>
      <c r="F231" s="33"/>
      <c r="G231" s="33"/>
      <c r="H231" s="33"/>
      <c r="I231" s="20" t="str">
        <f t="array" ref="I231">IF(C231="","",IFERROR(INDEX('상품표'!$C$4:$C$18,MATCH(C231,'상품표'!$A$4:$A$18,0)),""))</f>
        <v/>
      </c>
      <c r="J231" s="20" t="str">
        <f>IF(I231="","",ROUND(I231*(1-'상품표'!$G$4),0))</f>
        <v/>
      </c>
      <c r="K231" s="20" t="str">
        <f t="shared" si="1"/>
        <v/>
      </c>
      <c r="L231" s="32" t="str">
        <f t="array" ref="L231">IF(C231="","",IF(ISNA(MATCH(C231,'상품표'!$A$4:$A$18,0)),"상품명 확인",IF(H231="","수량 입력",IF(FALSE,"",IF(INDEX('상품표'!$B$4:$B$18,MATCH(C231,'상품표'!$A$4:$A$18,0))="의류",IF(D231="","사이즈 선택",IF(AND(LEFT(C231,4)="후드집업",OR(D231="XXS",D231="XS")),"후드는 S부터",IF(COUNTA(E231:G231)&gt;0,"세트 옵션은 세트만","OK"))),IF(INDEX('상품표'!$B$4:$B$18,MATCH(C231,'상품표'!$A$4:$A$18,0))="세트",IF(COUNTA(E231:G231)&lt;3,"세트 옵션 선택",IF(D231&lt;&gt;"","사이즈 불필요","OK")),IF(COUNTA(E231:G231)&gt;0,"세트 옵션은 세트만",IF(D231&lt;&gt;"","사이즈 불필요","OK"))))))))</f>
        <v/>
      </c>
      <c r="M231" s="44"/>
      <c r="N231" s="45"/>
    </row>
    <row r="232" ht="15.75" customHeight="1">
      <c r="A232" s="32">
        <v>227.0</v>
      </c>
      <c r="B232" s="33"/>
      <c r="C232" s="33"/>
      <c r="D232" s="33"/>
      <c r="E232" s="33"/>
      <c r="F232" s="33"/>
      <c r="G232" s="33"/>
      <c r="H232" s="33"/>
      <c r="I232" s="20" t="str">
        <f t="array" ref="I232">IF(C232="","",IFERROR(INDEX('상품표'!$C$4:$C$18,MATCH(C232,'상품표'!$A$4:$A$18,0)),""))</f>
        <v/>
      </c>
      <c r="J232" s="20" t="str">
        <f>IF(I232="","",ROUND(I232*(1-'상품표'!$G$4),0))</f>
        <v/>
      </c>
      <c r="K232" s="20" t="str">
        <f t="shared" si="1"/>
        <v/>
      </c>
      <c r="L232" s="32" t="str">
        <f t="array" ref="L232">IF(C232="","",IF(ISNA(MATCH(C232,'상품표'!$A$4:$A$18,0)),"상품명 확인",IF(H232="","수량 입력",IF(FALSE,"",IF(INDEX('상품표'!$B$4:$B$18,MATCH(C232,'상품표'!$A$4:$A$18,0))="의류",IF(D232="","사이즈 선택",IF(AND(LEFT(C232,4)="후드집업",OR(D232="XXS",D232="XS")),"후드는 S부터",IF(COUNTA(E232:G232)&gt;0,"세트 옵션은 세트만","OK"))),IF(INDEX('상품표'!$B$4:$B$18,MATCH(C232,'상품표'!$A$4:$A$18,0))="세트",IF(COUNTA(E232:G232)&lt;3,"세트 옵션 선택",IF(D232&lt;&gt;"","사이즈 불필요","OK")),IF(COUNTA(E232:G232)&gt;0,"세트 옵션은 세트만",IF(D232&lt;&gt;"","사이즈 불필요","OK"))))))))</f>
        <v/>
      </c>
      <c r="M232" s="44"/>
      <c r="N232" s="45"/>
    </row>
    <row r="233" ht="15.75" customHeight="1">
      <c r="A233" s="32">
        <v>228.0</v>
      </c>
      <c r="B233" s="33"/>
      <c r="C233" s="33"/>
      <c r="D233" s="33"/>
      <c r="E233" s="33"/>
      <c r="F233" s="33"/>
      <c r="G233" s="33"/>
      <c r="H233" s="33"/>
      <c r="I233" s="20" t="str">
        <f t="array" ref="I233">IF(C233="","",IFERROR(INDEX('상품표'!$C$4:$C$18,MATCH(C233,'상품표'!$A$4:$A$18,0)),""))</f>
        <v/>
      </c>
      <c r="J233" s="20" t="str">
        <f>IF(I233="","",ROUND(I233*(1-'상품표'!$G$4),0))</f>
        <v/>
      </c>
      <c r="K233" s="20" t="str">
        <f t="shared" si="1"/>
        <v/>
      </c>
      <c r="L233" s="32" t="str">
        <f t="array" ref="L233">IF(C233="","",IF(ISNA(MATCH(C233,'상품표'!$A$4:$A$18,0)),"상품명 확인",IF(H233="","수량 입력",IF(FALSE,"",IF(INDEX('상품표'!$B$4:$B$18,MATCH(C233,'상품표'!$A$4:$A$18,0))="의류",IF(D233="","사이즈 선택",IF(AND(LEFT(C233,4)="후드집업",OR(D233="XXS",D233="XS")),"후드는 S부터",IF(COUNTA(E233:G233)&gt;0,"세트 옵션은 세트만","OK"))),IF(INDEX('상품표'!$B$4:$B$18,MATCH(C233,'상품표'!$A$4:$A$18,0))="세트",IF(COUNTA(E233:G233)&lt;3,"세트 옵션 선택",IF(D233&lt;&gt;"","사이즈 불필요","OK")),IF(COUNTA(E233:G233)&gt;0,"세트 옵션은 세트만",IF(D233&lt;&gt;"","사이즈 불필요","OK"))))))))</f>
        <v/>
      </c>
      <c r="M233" s="44"/>
      <c r="N233" s="45"/>
    </row>
    <row r="234" ht="15.75" customHeight="1">
      <c r="A234" s="32">
        <v>229.0</v>
      </c>
      <c r="B234" s="33"/>
      <c r="C234" s="33"/>
      <c r="D234" s="33"/>
      <c r="E234" s="33"/>
      <c r="F234" s="33"/>
      <c r="G234" s="33"/>
      <c r="H234" s="33"/>
      <c r="I234" s="20" t="str">
        <f t="array" ref="I234">IF(C234="","",IFERROR(INDEX('상품표'!$C$4:$C$18,MATCH(C234,'상품표'!$A$4:$A$18,0)),""))</f>
        <v/>
      </c>
      <c r="J234" s="20" t="str">
        <f>IF(I234="","",ROUND(I234*(1-'상품표'!$G$4),0))</f>
        <v/>
      </c>
      <c r="K234" s="20" t="str">
        <f t="shared" si="1"/>
        <v/>
      </c>
      <c r="L234" s="32" t="str">
        <f t="array" ref="L234">IF(C234="","",IF(ISNA(MATCH(C234,'상품표'!$A$4:$A$18,0)),"상품명 확인",IF(H234="","수량 입력",IF(FALSE,"",IF(INDEX('상품표'!$B$4:$B$18,MATCH(C234,'상품표'!$A$4:$A$18,0))="의류",IF(D234="","사이즈 선택",IF(AND(LEFT(C234,4)="후드집업",OR(D234="XXS",D234="XS")),"후드는 S부터",IF(COUNTA(E234:G234)&gt;0,"세트 옵션은 세트만","OK"))),IF(INDEX('상품표'!$B$4:$B$18,MATCH(C234,'상품표'!$A$4:$A$18,0))="세트",IF(COUNTA(E234:G234)&lt;3,"세트 옵션 선택",IF(D234&lt;&gt;"","사이즈 불필요","OK")),IF(COUNTA(E234:G234)&gt;0,"세트 옵션은 세트만",IF(D234&lt;&gt;"","사이즈 불필요","OK"))))))))</f>
        <v/>
      </c>
      <c r="M234" s="44"/>
      <c r="N234" s="45"/>
    </row>
    <row r="235" ht="15.75" customHeight="1">
      <c r="A235" s="32">
        <v>230.0</v>
      </c>
      <c r="B235" s="33"/>
      <c r="C235" s="33"/>
      <c r="D235" s="33"/>
      <c r="E235" s="33"/>
      <c r="F235" s="33"/>
      <c r="G235" s="33"/>
      <c r="H235" s="33"/>
      <c r="I235" s="20" t="str">
        <f t="array" ref="I235">IF(C235="","",IFERROR(INDEX('상품표'!$C$4:$C$18,MATCH(C235,'상품표'!$A$4:$A$18,0)),""))</f>
        <v/>
      </c>
      <c r="J235" s="20" t="str">
        <f>IF(I235="","",ROUND(I235*(1-'상품표'!$G$4),0))</f>
        <v/>
      </c>
      <c r="K235" s="20" t="str">
        <f t="shared" si="1"/>
        <v/>
      </c>
      <c r="L235" s="32" t="str">
        <f t="array" ref="L235">IF(C235="","",IF(ISNA(MATCH(C235,'상품표'!$A$4:$A$18,0)),"상품명 확인",IF(H235="","수량 입력",IF(FALSE,"",IF(INDEX('상품표'!$B$4:$B$18,MATCH(C235,'상품표'!$A$4:$A$18,0))="의류",IF(D235="","사이즈 선택",IF(AND(LEFT(C235,4)="후드집업",OR(D235="XXS",D235="XS")),"후드는 S부터",IF(COUNTA(E235:G235)&gt;0,"세트 옵션은 세트만","OK"))),IF(INDEX('상품표'!$B$4:$B$18,MATCH(C235,'상품표'!$A$4:$A$18,0))="세트",IF(COUNTA(E235:G235)&lt;3,"세트 옵션 선택",IF(D235&lt;&gt;"","사이즈 불필요","OK")),IF(COUNTA(E235:G235)&gt;0,"세트 옵션은 세트만",IF(D235&lt;&gt;"","사이즈 불필요","OK"))))))))</f>
        <v/>
      </c>
      <c r="M235" s="44"/>
      <c r="N235" s="45"/>
    </row>
    <row r="236" ht="15.75" customHeight="1">
      <c r="A236" s="32">
        <v>231.0</v>
      </c>
      <c r="B236" s="33"/>
      <c r="C236" s="33"/>
      <c r="D236" s="33"/>
      <c r="E236" s="33"/>
      <c r="F236" s="33"/>
      <c r="G236" s="33"/>
      <c r="H236" s="33"/>
      <c r="I236" s="20" t="str">
        <f t="array" ref="I236">IF(C236="","",IFERROR(INDEX('상품표'!$C$4:$C$18,MATCH(C236,'상품표'!$A$4:$A$18,0)),""))</f>
        <v/>
      </c>
      <c r="J236" s="20" t="str">
        <f>IF(I236="","",ROUND(I236*(1-'상품표'!$G$4),0))</f>
        <v/>
      </c>
      <c r="K236" s="20" t="str">
        <f t="shared" si="1"/>
        <v/>
      </c>
      <c r="L236" s="32" t="str">
        <f t="array" ref="L236">IF(C236="","",IF(ISNA(MATCH(C236,'상품표'!$A$4:$A$18,0)),"상품명 확인",IF(H236="","수량 입력",IF(FALSE,"",IF(INDEX('상품표'!$B$4:$B$18,MATCH(C236,'상품표'!$A$4:$A$18,0))="의류",IF(D236="","사이즈 선택",IF(AND(LEFT(C236,4)="후드집업",OR(D236="XXS",D236="XS")),"후드는 S부터",IF(COUNTA(E236:G236)&gt;0,"세트 옵션은 세트만","OK"))),IF(INDEX('상품표'!$B$4:$B$18,MATCH(C236,'상품표'!$A$4:$A$18,0))="세트",IF(COUNTA(E236:G236)&lt;3,"세트 옵션 선택",IF(D236&lt;&gt;"","사이즈 불필요","OK")),IF(COUNTA(E236:G236)&gt;0,"세트 옵션은 세트만",IF(D236&lt;&gt;"","사이즈 불필요","OK"))))))))</f>
        <v/>
      </c>
      <c r="M236" s="44"/>
      <c r="N236" s="45"/>
    </row>
    <row r="237" ht="15.75" customHeight="1">
      <c r="A237" s="32">
        <v>232.0</v>
      </c>
      <c r="B237" s="33"/>
      <c r="C237" s="33"/>
      <c r="D237" s="33"/>
      <c r="E237" s="33"/>
      <c r="F237" s="33"/>
      <c r="G237" s="33"/>
      <c r="H237" s="33"/>
      <c r="I237" s="20" t="str">
        <f t="array" ref="I237">IF(C237="","",IFERROR(INDEX('상품표'!$C$4:$C$18,MATCH(C237,'상품표'!$A$4:$A$18,0)),""))</f>
        <v/>
      </c>
      <c r="J237" s="20" t="str">
        <f>IF(I237="","",ROUND(I237*(1-'상품표'!$G$4),0))</f>
        <v/>
      </c>
      <c r="K237" s="20" t="str">
        <f t="shared" si="1"/>
        <v/>
      </c>
      <c r="L237" s="32" t="str">
        <f t="array" ref="L237">IF(C237="","",IF(ISNA(MATCH(C237,'상품표'!$A$4:$A$18,0)),"상품명 확인",IF(H237="","수량 입력",IF(FALSE,"",IF(INDEX('상품표'!$B$4:$B$18,MATCH(C237,'상품표'!$A$4:$A$18,0))="의류",IF(D237="","사이즈 선택",IF(AND(LEFT(C237,4)="후드집업",OR(D237="XXS",D237="XS")),"후드는 S부터",IF(COUNTA(E237:G237)&gt;0,"세트 옵션은 세트만","OK"))),IF(INDEX('상품표'!$B$4:$B$18,MATCH(C237,'상품표'!$A$4:$A$18,0))="세트",IF(COUNTA(E237:G237)&lt;3,"세트 옵션 선택",IF(D237&lt;&gt;"","사이즈 불필요","OK")),IF(COUNTA(E237:G237)&gt;0,"세트 옵션은 세트만",IF(D237&lt;&gt;"","사이즈 불필요","OK"))))))))</f>
        <v/>
      </c>
      <c r="M237" s="44"/>
      <c r="N237" s="45"/>
    </row>
    <row r="238" ht="15.75" customHeight="1">
      <c r="A238" s="32">
        <v>233.0</v>
      </c>
      <c r="B238" s="33"/>
      <c r="C238" s="33"/>
      <c r="D238" s="33"/>
      <c r="E238" s="33"/>
      <c r="F238" s="33"/>
      <c r="G238" s="33"/>
      <c r="H238" s="33"/>
      <c r="I238" s="20" t="str">
        <f t="array" ref="I238">IF(C238="","",IFERROR(INDEX('상품표'!$C$4:$C$18,MATCH(C238,'상품표'!$A$4:$A$18,0)),""))</f>
        <v/>
      </c>
      <c r="J238" s="20" t="str">
        <f>IF(I238="","",ROUND(I238*(1-'상품표'!$G$4),0))</f>
        <v/>
      </c>
      <c r="K238" s="20" t="str">
        <f t="shared" si="1"/>
        <v/>
      </c>
      <c r="L238" s="32" t="str">
        <f t="array" ref="L238">IF(C238="","",IF(ISNA(MATCH(C238,'상품표'!$A$4:$A$18,0)),"상품명 확인",IF(H238="","수량 입력",IF(FALSE,"",IF(INDEX('상품표'!$B$4:$B$18,MATCH(C238,'상품표'!$A$4:$A$18,0))="의류",IF(D238="","사이즈 선택",IF(AND(LEFT(C238,4)="후드집업",OR(D238="XXS",D238="XS")),"후드는 S부터",IF(COUNTA(E238:G238)&gt;0,"세트 옵션은 세트만","OK"))),IF(INDEX('상품표'!$B$4:$B$18,MATCH(C238,'상품표'!$A$4:$A$18,0))="세트",IF(COUNTA(E238:G238)&lt;3,"세트 옵션 선택",IF(D238&lt;&gt;"","사이즈 불필요","OK")),IF(COUNTA(E238:G238)&gt;0,"세트 옵션은 세트만",IF(D238&lt;&gt;"","사이즈 불필요","OK"))))))))</f>
        <v/>
      </c>
      <c r="M238" s="44"/>
      <c r="N238" s="45"/>
    </row>
    <row r="239" ht="15.75" customHeight="1">
      <c r="A239" s="32">
        <v>234.0</v>
      </c>
      <c r="B239" s="33"/>
      <c r="C239" s="33"/>
      <c r="D239" s="33"/>
      <c r="E239" s="33"/>
      <c r="F239" s="33"/>
      <c r="G239" s="33"/>
      <c r="H239" s="33"/>
      <c r="I239" s="20" t="str">
        <f t="array" ref="I239">IF(C239="","",IFERROR(INDEX('상품표'!$C$4:$C$18,MATCH(C239,'상품표'!$A$4:$A$18,0)),""))</f>
        <v/>
      </c>
      <c r="J239" s="20" t="str">
        <f>IF(I239="","",ROUND(I239*(1-'상품표'!$G$4),0))</f>
        <v/>
      </c>
      <c r="K239" s="20" t="str">
        <f t="shared" si="1"/>
        <v/>
      </c>
      <c r="L239" s="32" t="str">
        <f t="array" ref="L239">IF(C239="","",IF(ISNA(MATCH(C239,'상품표'!$A$4:$A$18,0)),"상품명 확인",IF(H239="","수량 입력",IF(FALSE,"",IF(INDEX('상품표'!$B$4:$B$18,MATCH(C239,'상품표'!$A$4:$A$18,0))="의류",IF(D239="","사이즈 선택",IF(AND(LEFT(C239,4)="후드집업",OR(D239="XXS",D239="XS")),"후드는 S부터",IF(COUNTA(E239:G239)&gt;0,"세트 옵션은 세트만","OK"))),IF(INDEX('상품표'!$B$4:$B$18,MATCH(C239,'상품표'!$A$4:$A$18,0))="세트",IF(COUNTA(E239:G239)&lt;3,"세트 옵션 선택",IF(D239&lt;&gt;"","사이즈 불필요","OK")),IF(COUNTA(E239:G239)&gt;0,"세트 옵션은 세트만",IF(D239&lt;&gt;"","사이즈 불필요","OK"))))))))</f>
        <v/>
      </c>
      <c r="M239" s="44"/>
      <c r="N239" s="45"/>
    </row>
    <row r="240" ht="15.75" customHeight="1">
      <c r="A240" s="32">
        <v>235.0</v>
      </c>
      <c r="B240" s="33"/>
      <c r="C240" s="33"/>
      <c r="D240" s="33"/>
      <c r="E240" s="33"/>
      <c r="F240" s="33"/>
      <c r="G240" s="33"/>
      <c r="H240" s="33"/>
      <c r="I240" s="20" t="str">
        <f t="array" ref="I240">IF(C240="","",IFERROR(INDEX('상품표'!$C$4:$C$18,MATCH(C240,'상품표'!$A$4:$A$18,0)),""))</f>
        <v/>
      </c>
      <c r="J240" s="20" t="str">
        <f>IF(I240="","",ROUND(I240*(1-'상품표'!$G$4),0))</f>
        <v/>
      </c>
      <c r="K240" s="20" t="str">
        <f t="shared" si="1"/>
        <v/>
      </c>
      <c r="L240" s="32" t="str">
        <f t="array" ref="L240">IF(C240="","",IF(ISNA(MATCH(C240,'상품표'!$A$4:$A$18,0)),"상품명 확인",IF(H240="","수량 입력",IF(FALSE,"",IF(INDEX('상품표'!$B$4:$B$18,MATCH(C240,'상품표'!$A$4:$A$18,0))="의류",IF(D240="","사이즈 선택",IF(AND(LEFT(C240,4)="후드집업",OR(D240="XXS",D240="XS")),"후드는 S부터",IF(COUNTA(E240:G240)&gt;0,"세트 옵션은 세트만","OK"))),IF(INDEX('상품표'!$B$4:$B$18,MATCH(C240,'상품표'!$A$4:$A$18,0))="세트",IF(COUNTA(E240:G240)&lt;3,"세트 옵션 선택",IF(D240&lt;&gt;"","사이즈 불필요","OK")),IF(COUNTA(E240:G240)&gt;0,"세트 옵션은 세트만",IF(D240&lt;&gt;"","사이즈 불필요","OK"))))))))</f>
        <v/>
      </c>
      <c r="M240" s="44"/>
      <c r="N240" s="45"/>
    </row>
    <row r="241" ht="15.75" customHeight="1">
      <c r="A241" s="32">
        <v>236.0</v>
      </c>
      <c r="B241" s="33"/>
      <c r="C241" s="33"/>
      <c r="D241" s="33"/>
      <c r="E241" s="33"/>
      <c r="F241" s="33"/>
      <c r="G241" s="33"/>
      <c r="H241" s="33"/>
      <c r="I241" s="20" t="str">
        <f t="array" ref="I241">IF(C241="","",IFERROR(INDEX('상품표'!$C$4:$C$18,MATCH(C241,'상품표'!$A$4:$A$18,0)),""))</f>
        <v/>
      </c>
      <c r="J241" s="20" t="str">
        <f>IF(I241="","",ROUND(I241*(1-'상품표'!$G$4),0))</f>
        <v/>
      </c>
      <c r="K241" s="20" t="str">
        <f t="shared" si="1"/>
        <v/>
      </c>
      <c r="L241" s="32" t="str">
        <f t="array" ref="L241">IF(C241="","",IF(ISNA(MATCH(C241,'상품표'!$A$4:$A$18,0)),"상품명 확인",IF(H241="","수량 입력",IF(FALSE,"",IF(INDEX('상품표'!$B$4:$B$18,MATCH(C241,'상품표'!$A$4:$A$18,0))="의류",IF(D241="","사이즈 선택",IF(AND(LEFT(C241,4)="후드집업",OR(D241="XXS",D241="XS")),"후드는 S부터",IF(COUNTA(E241:G241)&gt;0,"세트 옵션은 세트만","OK"))),IF(INDEX('상품표'!$B$4:$B$18,MATCH(C241,'상품표'!$A$4:$A$18,0))="세트",IF(COUNTA(E241:G241)&lt;3,"세트 옵션 선택",IF(D241&lt;&gt;"","사이즈 불필요","OK")),IF(COUNTA(E241:G241)&gt;0,"세트 옵션은 세트만",IF(D241&lt;&gt;"","사이즈 불필요","OK"))))))))</f>
        <v/>
      </c>
      <c r="M241" s="44"/>
      <c r="N241" s="45"/>
    </row>
    <row r="242" ht="15.75" customHeight="1">
      <c r="A242" s="32">
        <v>237.0</v>
      </c>
      <c r="B242" s="33"/>
      <c r="C242" s="33"/>
      <c r="D242" s="33"/>
      <c r="E242" s="33"/>
      <c r="F242" s="33"/>
      <c r="G242" s="33"/>
      <c r="H242" s="33"/>
      <c r="I242" s="20" t="str">
        <f t="array" ref="I242">IF(C242="","",IFERROR(INDEX('상품표'!$C$4:$C$18,MATCH(C242,'상품표'!$A$4:$A$18,0)),""))</f>
        <v/>
      </c>
      <c r="J242" s="20" t="str">
        <f>IF(I242="","",ROUND(I242*(1-'상품표'!$G$4),0))</f>
        <v/>
      </c>
      <c r="K242" s="20" t="str">
        <f t="shared" si="1"/>
        <v/>
      </c>
      <c r="L242" s="32" t="str">
        <f t="array" ref="L242">IF(C242="","",IF(ISNA(MATCH(C242,'상품표'!$A$4:$A$18,0)),"상품명 확인",IF(H242="","수량 입력",IF(FALSE,"",IF(INDEX('상품표'!$B$4:$B$18,MATCH(C242,'상품표'!$A$4:$A$18,0))="의류",IF(D242="","사이즈 선택",IF(AND(LEFT(C242,4)="후드집업",OR(D242="XXS",D242="XS")),"후드는 S부터",IF(COUNTA(E242:G242)&gt;0,"세트 옵션은 세트만","OK"))),IF(INDEX('상품표'!$B$4:$B$18,MATCH(C242,'상품표'!$A$4:$A$18,0))="세트",IF(COUNTA(E242:G242)&lt;3,"세트 옵션 선택",IF(D242&lt;&gt;"","사이즈 불필요","OK")),IF(COUNTA(E242:G242)&gt;0,"세트 옵션은 세트만",IF(D242&lt;&gt;"","사이즈 불필요","OK"))))))))</f>
        <v/>
      </c>
      <c r="M242" s="44"/>
      <c r="N242" s="45"/>
    </row>
    <row r="243" ht="15.75" customHeight="1">
      <c r="A243" s="32">
        <v>238.0</v>
      </c>
      <c r="B243" s="33"/>
      <c r="C243" s="33"/>
      <c r="D243" s="33"/>
      <c r="E243" s="33"/>
      <c r="F243" s="33"/>
      <c r="G243" s="33"/>
      <c r="H243" s="33"/>
      <c r="I243" s="20" t="str">
        <f t="array" ref="I243">IF(C243="","",IFERROR(INDEX('상품표'!$C$4:$C$18,MATCH(C243,'상품표'!$A$4:$A$18,0)),""))</f>
        <v/>
      </c>
      <c r="J243" s="20" t="str">
        <f>IF(I243="","",ROUND(I243*(1-'상품표'!$G$4),0))</f>
        <v/>
      </c>
      <c r="K243" s="20" t="str">
        <f t="shared" si="1"/>
        <v/>
      </c>
      <c r="L243" s="32" t="str">
        <f t="array" ref="L243">IF(C243="","",IF(ISNA(MATCH(C243,'상품표'!$A$4:$A$18,0)),"상품명 확인",IF(H243="","수량 입력",IF(FALSE,"",IF(INDEX('상품표'!$B$4:$B$18,MATCH(C243,'상품표'!$A$4:$A$18,0))="의류",IF(D243="","사이즈 선택",IF(AND(LEFT(C243,4)="후드집업",OR(D243="XXS",D243="XS")),"후드는 S부터",IF(COUNTA(E243:G243)&gt;0,"세트 옵션은 세트만","OK"))),IF(INDEX('상품표'!$B$4:$B$18,MATCH(C243,'상품표'!$A$4:$A$18,0))="세트",IF(COUNTA(E243:G243)&lt;3,"세트 옵션 선택",IF(D243&lt;&gt;"","사이즈 불필요","OK")),IF(COUNTA(E243:G243)&gt;0,"세트 옵션은 세트만",IF(D243&lt;&gt;"","사이즈 불필요","OK"))))))))</f>
        <v/>
      </c>
      <c r="M243" s="44"/>
      <c r="N243" s="45"/>
    </row>
    <row r="244" ht="15.75" customHeight="1">
      <c r="A244" s="32">
        <v>239.0</v>
      </c>
      <c r="B244" s="33"/>
      <c r="C244" s="33"/>
      <c r="D244" s="33"/>
      <c r="E244" s="33"/>
      <c r="F244" s="33"/>
      <c r="G244" s="33"/>
      <c r="H244" s="33"/>
      <c r="I244" s="20" t="str">
        <f t="array" ref="I244">IF(C244="","",IFERROR(INDEX('상품표'!$C$4:$C$18,MATCH(C244,'상품표'!$A$4:$A$18,0)),""))</f>
        <v/>
      </c>
      <c r="J244" s="20" t="str">
        <f>IF(I244="","",ROUND(I244*(1-'상품표'!$G$4),0))</f>
        <v/>
      </c>
      <c r="K244" s="20" t="str">
        <f t="shared" si="1"/>
        <v/>
      </c>
      <c r="L244" s="32" t="str">
        <f t="array" ref="L244">IF(C244="","",IF(ISNA(MATCH(C244,'상품표'!$A$4:$A$18,0)),"상품명 확인",IF(H244="","수량 입력",IF(FALSE,"",IF(INDEX('상품표'!$B$4:$B$18,MATCH(C244,'상품표'!$A$4:$A$18,0))="의류",IF(D244="","사이즈 선택",IF(AND(LEFT(C244,4)="후드집업",OR(D244="XXS",D244="XS")),"후드는 S부터",IF(COUNTA(E244:G244)&gt;0,"세트 옵션은 세트만","OK"))),IF(INDEX('상품표'!$B$4:$B$18,MATCH(C244,'상품표'!$A$4:$A$18,0))="세트",IF(COUNTA(E244:G244)&lt;3,"세트 옵션 선택",IF(D244&lt;&gt;"","사이즈 불필요","OK")),IF(COUNTA(E244:G244)&gt;0,"세트 옵션은 세트만",IF(D244&lt;&gt;"","사이즈 불필요","OK"))))))))</f>
        <v/>
      </c>
      <c r="M244" s="44"/>
      <c r="N244" s="45"/>
    </row>
    <row r="245" ht="15.75" customHeight="1">
      <c r="A245" s="32">
        <v>240.0</v>
      </c>
      <c r="B245" s="33"/>
      <c r="C245" s="33"/>
      <c r="D245" s="33"/>
      <c r="E245" s="33"/>
      <c r="F245" s="33"/>
      <c r="G245" s="33"/>
      <c r="H245" s="33"/>
      <c r="I245" s="20" t="str">
        <f t="array" ref="I245">IF(C245="","",IFERROR(INDEX('상품표'!$C$4:$C$18,MATCH(C245,'상품표'!$A$4:$A$18,0)),""))</f>
        <v/>
      </c>
      <c r="J245" s="20" t="str">
        <f>IF(I245="","",ROUND(I245*(1-'상품표'!$G$4),0))</f>
        <v/>
      </c>
      <c r="K245" s="20" t="str">
        <f t="shared" si="1"/>
        <v/>
      </c>
      <c r="L245" s="32" t="str">
        <f t="array" ref="L245">IF(C245="","",IF(ISNA(MATCH(C245,'상품표'!$A$4:$A$18,0)),"상품명 확인",IF(H245="","수량 입력",IF(FALSE,"",IF(INDEX('상품표'!$B$4:$B$18,MATCH(C245,'상품표'!$A$4:$A$18,0))="의류",IF(D245="","사이즈 선택",IF(AND(LEFT(C245,4)="후드집업",OR(D245="XXS",D245="XS")),"후드는 S부터",IF(COUNTA(E245:G245)&gt;0,"세트 옵션은 세트만","OK"))),IF(INDEX('상품표'!$B$4:$B$18,MATCH(C245,'상품표'!$A$4:$A$18,0))="세트",IF(COUNTA(E245:G245)&lt;3,"세트 옵션 선택",IF(D245&lt;&gt;"","사이즈 불필요","OK")),IF(COUNTA(E245:G245)&gt;0,"세트 옵션은 세트만",IF(D245&lt;&gt;"","사이즈 불필요","OK"))))))))</f>
        <v/>
      </c>
      <c r="M245" s="44"/>
      <c r="N245" s="45"/>
    </row>
    <row r="246" ht="15.75" customHeight="1">
      <c r="A246" s="32">
        <v>241.0</v>
      </c>
      <c r="B246" s="33"/>
      <c r="C246" s="33"/>
      <c r="D246" s="33"/>
      <c r="E246" s="33"/>
      <c r="F246" s="33"/>
      <c r="G246" s="33"/>
      <c r="H246" s="33"/>
      <c r="I246" s="20" t="str">
        <f t="array" ref="I246">IF(C246="","",IFERROR(INDEX('상품표'!$C$4:$C$18,MATCH(C246,'상품표'!$A$4:$A$18,0)),""))</f>
        <v/>
      </c>
      <c r="J246" s="20" t="str">
        <f>IF(I246="","",ROUND(I246*(1-'상품표'!$G$4),0))</f>
        <v/>
      </c>
      <c r="K246" s="20" t="str">
        <f t="shared" si="1"/>
        <v/>
      </c>
      <c r="L246" s="32" t="str">
        <f t="array" ref="L246">IF(C246="","",IF(ISNA(MATCH(C246,'상품표'!$A$4:$A$18,0)),"상품명 확인",IF(H246="","수량 입력",IF(FALSE,"",IF(INDEX('상품표'!$B$4:$B$18,MATCH(C246,'상품표'!$A$4:$A$18,0))="의류",IF(D246="","사이즈 선택",IF(AND(LEFT(C246,4)="후드집업",OR(D246="XXS",D246="XS")),"후드는 S부터",IF(COUNTA(E246:G246)&gt;0,"세트 옵션은 세트만","OK"))),IF(INDEX('상품표'!$B$4:$B$18,MATCH(C246,'상품표'!$A$4:$A$18,0))="세트",IF(COUNTA(E246:G246)&lt;3,"세트 옵션 선택",IF(D246&lt;&gt;"","사이즈 불필요","OK")),IF(COUNTA(E246:G246)&gt;0,"세트 옵션은 세트만",IF(D246&lt;&gt;"","사이즈 불필요","OK"))))))))</f>
        <v/>
      </c>
      <c r="M246" s="44"/>
      <c r="N246" s="45"/>
    </row>
    <row r="247" ht="15.75" customHeight="1">
      <c r="A247" s="32">
        <v>242.0</v>
      </c>
      <c r="B247" s="33"/>
      <c r="C247" s="33"/>
      <c r="D247" s="33"/>
      <c r="E247" s="33"/>
      <c r="F247" s="33"/>
      <c r="G247" s="33"/>
      <c r="H247" s="33"/>
      <c r="I247" s="20" t="str">
        <f t="array" ref="I247">IF(C247="","",IFERROR(INDEX('상품표'!$C$4:$C$18,MATCH(C247,'상품표'!$A$4:$A$18,0)),""))</f>
        <v/>
      </c>
      <c r="J247" s="20" t="str">
        <f>IF(I247="","",ROUND(I247*(1-'상품표'!$G$4),0))</f>
        <v/>
      </c>
      <c r="K247" s="20" t="str">
        <f t="shared" si="1"/>
        <v/>
      </c>
      <c r="L247" s="32" t="str">
        <f t="array" ref="L247">IF(C247="","",IF(ISNA(MATCH(C247,'상품표'!$A$4:$A$18,0)),"상품명 확인",IF(H247="","수량 입력",IF(FALSE,"",IF(INDEX('상품표'!$B$4:$B$18,MATCH(C247,'상품표'!$A$4:$A$18,0))="의류",IF(D247="","사이즈 선택",IF(AND(LEFT(C247,4)="후드집업",OR(D247="XXS",D247="XS")),"후드는 S부터",IF(COUNTA(E247:G247)&gt;0,"세트 옵션은 세트만","OK"))),IF(INDEX('상품표'!$B$4:$B$18,MATCH(C247,'상품표'!$A$4:$A$18,0))="세트",IF(COUNTA(E247:G247)&lt;3,"세트 옵션 선택",IF(D247&lt;&gt;"","사이즈 불필요","OK")),IF(COUNTA(E247:G247)&gt;0,"세트 옵션은 세트만",IF(D247&lt;&gt;"","사이즈 불필요","OK"))))))))</f>
        <v/>
      </c>
      <c r="M247" s="44"/>
      <c r="N247" s="45"/>
    </row>
    <row r="248" ht="15.75" customHeight="1">
      <c r="A248" s="32">
        <v>243.0</v>
      </c>
      <c r="B248" s="33"/>
      <c r="C248" s="33"/>
      <c r="D248" s="33"/>
      <c r="E248" s="33"/>
      <c r="F248" s="33"/>
      <c r="G248" s="33"/>
      <c r="H248" s="33"/>
      <c r="I248" s="20" t="str">
        <f t="array" ref="I248">IF(C248="","",IFERROR(INDEX('상품표'!$C$4:$C$18,MATCH(C248,'상품표'!$A$4:$A$18,0)),""))</f>
        <v/>
      </c>
      <c r="J248" s="20" t="str">
        <f>IF(I248="","",ROUND(I248*(1-'상품표'!$G$4),0))</f>
        <v/>
      </c>
      <c r="K248" s="20" t="str">
        <f t="shared" si="1"/>
        <v/>
      </c>
      <c r="L248" s="32" t="str">
        <f t="array" ref="L248">IF(C248="","",IF(ISNA(MATCH(C248,'상품표'!$A$4:$A$18,0)),"상품명 확인",IF(H248="","수량 입력",IF(FALSE,"",IF(INDEX('상품표'!$B$4:$B$18,MATCH(C248,'상품표'!$A$4:$A$18,0))="의류",IF(D248="","사이즈 선택",IF(AND(LEFT(C248,4)="후드집업",OR(D248="XXS",D248="XS")),"후드는 S부터",IF(COUNTA(E248:G248)&gt;0,"세트 옵션은 세트만","OK"))),IF(INDEX('상품표'!$B$4:$B$18,MATCH(C248,'상품표'!$A$4:$A$18,0))="세트",IF(COUNTA(E248:G248)&lt;3,"세트 옵션 선택",IF(D248&lt;&gt;"","사이즈 불필요","OK")),IF(COUNTA(E248:G248)&gt;0,"세트 옵션은 세트만",IF(D248&lt;&gt;"","사이즈 불필요","OK"))))))))</f>
        <v/>
      </c>
      <c r="M248" s="44"/>
      <c r="N248" s="45"/>
    </row>
    <row r="249" ht="15.75" customHeight="1">
      <c r="A249" s="32">
        <v>244.0</v>
      </c>
      <c r="B249" s="33"/>
      <c r="C249" s="33"/>
      <c r="D249" s="33"/>
      <c r="E249" s="33"/>
      <c r="F249" s="33"/>
      <c r="G249" s="33"/>
      <c r="H249" s="33"/>
      <c r="I249" s="20" t="str">
        <f t="array" ref="I249">IF(C249="","",IFERROR(INDEX('상품표'!$C$4:$C$18,MATCH(C249,'상품표'!$A$4:$A$18,0)),""))</f>
        <v/>
      </c>
      <c r="J249" s="20" t="str">
        <f>IF(I249="","",ROUND(I249*(1-'상품표'!$G$4),0))</f>
        <v/>
      </c>
      <c r="K249" s="20" t="str">
        <f t="shared" si="1"/>
        <v/>
      </c>
      <c r="L249" s="32" t="str">
        <f t="array" ref="L249">IF(C249="","",IF(ISNA(MATCH(C249,'상품표'!$A$4:$A$18,0)),"상품명 확인",IF(H249="","수량 입력",IF(FALSE,"",IF(INDEX('상품표'!$B$4:$B$18,MATCH(C249,'상품표'!$A$4:$A$18,0))="의류",IF(D249="","사이즈 선택",IF(AND(LEFT(C249,4)="후드집업",OR(D249="XXS",D249="XS")),"후드는 S부터",IF(COUNTA(E249:G249)&gt;0,"세트 옵션은 세트만","OK"))),IF(INDEX('상품표'!$B$4:$B$18,MATCH(C249,'상품표'!$A$4:$A$18,0))="세트",IF(COUNTA(E249:G249)&lt;3,"세트 옵션 선택",IF(D249&lt;&gt;"","사이즈 불필요","OK")),IF(COUNTA(E249:G249)&gt;0,"세트 옵션은 세트만",IF(D249&lt;&gt;"","사이즈 불필요","OK"))))))))</f>
        <v/>
      </c>
      <c r="M249" s="44"/>
      <c r="N249" s="45"/>
    </row>
    <row r="250" ht="15.75" customHeight="1">
      <c r="A250" s="32">
        <v>245.0</v>
      </c>
      <c r="B250" s="33"/>
      <c r="C250" s="33"/>
      <c r="D250" s="33"/>
      <c r="E250" s="33"/>
      <c r="F250" s="33"/>
      <c r="G250" s="33"/>
      <c r="H250" s="33"/>
      <c r="I250" s="20" t="str">
        <f t="array" ref="I250">IF(C250="","",IFERROR(INDEX('상품표'!$C$4:$C$18,MATCH(C250,'상품표'!$A$4:$A$18,0)),""))</f>
        <v/>
      </c>
      <c r="J250" s="20" t="str">
        <f>IF(I250="","",ROUND(I250*(1-'상품표'!$G$4),0))</f>
        <v/>
      </c>
      <c r="K250" s="20" t="str">
        <f t="shared" si="1"/>
        <v/>
      </c>
      <c r="L250" s="32" t="str">
        <f t="array" ref="L250">IF(C250="","",IF(ISNA(MATCH(C250,'상품표'!$A$4:$A$18,0)),"상품명 확인",IF(H250="","수량 입력",IF(FALSE,"",IF(INDEX('상품표'!$B$4:$B$18,MATCH(C250,'상품표'!$A$4:$A$18,0))="의류",IF(D250="","사이즈 선택",IF(AND(LEFT(C250,4)="후드집업",OR(D250="XXS",D250="XS")),"후드는 S부터",IF(COUNTA(E250:G250)&gt;0,"세트 옵션은 세트만","OK"))),IF(INDEX('상품표'!$B$4:$B$18,MATCH(C250,'상품표'!$A$4:$A$18,0))="세트",IF(COUNTA(E250:G250)&lt;3,"세트 옵션 선택",IF(D250&lt;&gt;"","사이즈 불필요","OK")),IF(COUNTA(E250:G250)&gt;0,"세트 옵션은 세트만",IF(D250&lt;&gt;"","사이즈 불필요","OK"))))))))</f>
        <v/>
      </c>
      <c r="M250" s="44"/>
      <c r="N250" s="45"/>
    </row>
    <row r="251" ht="15.75" customHeight="1">
      <c r="A251" s="32">
        <v>246.0</v>
      </c>
      <c r="B251" s="33"/>
      <c r="C251" s="33"/>
      <c r="D251" s="33"/>
      <c r="E251" s="33"/>
      <c r="F251" s="33"/>
      <c r="G251" s="33"/>
      <c r="H251" s="33"/>
      <c r="I251" s="20" t="str">
        <f t="array" ref="I251">IF(C251="","",IFERROR(INDEX('상품표'!$C$4:$C$18,MATCH(C251,'상품표'!$A$4:$A$18,0)),""))</f>
        <v/>
      </c>
      <c r="J251" s="20" t="str">
        <f>IF(I251="","",ROUND(I251*(1-'상품표'!$G$4),0))</f>
        <v/>
      </c>
      <c r="K251" s="20" t="str">
        <f t="shared" si="1"/>
        <v/>
      </c>
      <c r="L251" s="32" t="str">
        <f t="array" ref="L251">IF(C251="","",IF(ISNA(MATCH(C251,'상품표'!$A$4:$A$18,0)),"상품명 확인",IF(H251="","수량 입력",IF(FALSE,"",IF(INDEX('상품표'!$B$4:$B$18,MATCH(C251,'상품표'!$A$4:$A$18,0))="의류",IF(D251="","사이즈 선택",IF(AND(LEFT(C251,4)="후드집업",OR(D251="XXS",D251="XS")),"후드는 S부터",IF(COUNTA(E251:G251)&gt;0,"세트 옵션은 세트만","OK"))),IF(INDEX('상품표'!$B$4:$B$18,MATCH(C251,'상품표'!$A$4:$A$18,0))="세트",IF(COUNTA(E251:G251)&lt;3,"세트 옵션 선택",IF(D251&lt;&gt;"","사이즈 불필요","OK")),IF(COUNTA(E251:G251)&gt;0,"세트 옵션은 세트만",IF(D251&lt;&gt;"","사이즈 불필요","OK"))))))))</f>
        <v/>
      </c>
      <c r="M251" s="44"/>
      <c r="N251" s="45"/>
    </row>
    <row r="252" ht="15.75" customHeight="1">
      <c r="A252" s="32">
        <v>247.0</v>
      </c>
      <c r="B252" s="33"/>
      <c r="C252" s="33"/>
      <c r="D252" s="33"/>
      <c r="E252" s="33"/>
      <c r="F252" s="33"/>
      <c r="G252" s="33"/>
      <c r="H252" s="33"/>
      <c r="I252" s="20" t="str">
        <f t="array" ref="I252">IF(C252="","",IFERROR(INDEX('상품표'!$C$4:$C$18,MATCH(C252,'상품표'!$A$4:$A$18,0)),""))</f>
        <v/>
      </c>
      <c r="J252" s="20" t="str">
        <f>IF(I252="","",ROUND(I252*(1-'상품표'!$G$4),0))</f>
        <v/>
      </c>
      <c r="K252" s="20" t="str">
        <f t="shared" si="1"/>
        <v/>
      </c>
      <c r="L252" s="32" t="str">
        <f t="array" ref="L252">IF(C252="","",IF(ISNA(MATCH(C252,'상품표'!$A$4:$A$18,0)),"상품명 확인",IF(H252="","수량 입력",IF(FALSE,"",IF(INDEX('상품표'!$B$4:$B$18,MATCH(C252,'상품표'!$A$4:$A$18,0))="의류",IF(D252="","사이즈 선택",IF(AND(LEFT(C252,4)="후드집업",OR(D252="XXS",D252="XS")),"후드는 S부터",IF(COUNTA(E252:G252)&gt;0,"세트 옵션은 세트만","OK"))),IF(INDEX('상품표'!$B$4:$B$18,MATCH(C252,'상품표'!$A$4:$A$18,0))="세트",IF(COUNTA(E252:G252)&lt;3,"세트 옵션 선택",IF(D252&lt;&gt;"","사이즈 불필요","OK")),IF(COUNTA(E252:G252)&gt;0,"세트 옵션은 세트만",IF(D252&lt;&gt;"","사이즈 불필요","OK"))))))))</f>
        <v/>
      </c>
      <c r="M252" s="44"/>
      <c r="N252" s="45"/>
    </row>
    <row r="253" ht="15.75" customHeight="1">
      <c r="A253" s="32">
        <v>248.0</v>
      </c>
      <c r="B253" s="33"/>
      <c r="C253" s="33"/>
      <c r="D253" s="33"/>
      <c r="E253" s="33"/>
      <c r="F253" s="33"/>
      <c r="G253" s="33"/>
      <c r="H253" s="33"/>
      <c r="I253" s="20" t="str">
        <f t="array" ref="I253">IF(C253="","",IFERROR(INDEX('상품표'!$C$4:$C$18,MATCH(C253,'상품표'!$A$4:$A$18,0)),""))</f>
        <v/>
      </c>
      <c r="J253" s="20" t="str">
        <f>IF(I253="","",ROUND(I253*(1-'상품표'!$G$4),0))</f>
        <v/>
      </c>
      <c r="K253" s="20" t="str">
        <f t="shared" si="1"/>
        <v/>
      </c>
      <c r="L253" s="32" t="str">
        <f t="array" ref="L253">IF(C253="","",IF(ISNA(MATCH(C253,'상품표'!$A$4:$A$18,0)),"상품명 확인",IF(H253="","수량 입력",IF(FALSE,"",IF(INDEX('상품표'!$B$4:$B$18,MATCH(C253,'상품표'!$A$4:$A$18,0))="의류",IF(D253="","사이즈 선택",IF(AND(LEFT(C253,4)="후드집업",OR(D253="XXS",D253="XS")),"후드는 S부터",IF(COUNTA(E253:G253)&gt;0,"세트 옵션은 세트만","OK"))),IF(INDEX('상품표'!$B$4:$B$18,MATCH(C253,'상품표'!$A$4:$A$18,0))="세트",IF(COUNTA(E253:G253)&lt;3,"세트 옵션 선택",IF(D253&lt;&gt;"","사이즈 불필요","OK")),IF(COUNTA(E253:G253)&gt;0,"세트 옵션은 세트만",IF(D253&lt;&gt;"","사이즈 불필요","OK"))))))))</f>
        <v/>
      </c>
      <c r="M253" s="44"/>
      <c r="N253" s="45"/>
    </row>
    <row r="254" ht="15.75" customHeight="1">
      <c r="A254" s="32">
        <v>249.0</v>
      </c>
      <c r="B254" s="33"/>
      <c r="C254" s="33"/>
      <c r="D254" s="33"/>
      <c r="E254" s="33"/>
      <c r="F254" s="33"/>
      <c r="G254" s="33"/>
      <c r="H254" s="33"/>
      <c r="I254" s="20" t="str">
        <f t="array" ref="I254">IF(C254="","",IFERROR(INDEX('상품표'!$C$4:$C$18,MATCH(C254,'상품표'!$A$4:$A$18,0)),""))</f>
        <v/>
      </c>
      <c r="J254" s="20" t="str">
        <f>IF(I254="","",ROUND(I254*(1-'상품표'!$G$4),0))</f>
        <v/>
      </c>
      <c r="K254" s="20" t="str">
        <f t="shared" si="1"/>
        <v/>
      </c>
      <c r="L254" s="32" t="str">
        <f t="array" ref="L254">IF(C254="","",IF(ISNA(MATCH(C254,'상품표'!$A$4:$A$18,0)),"상품명 확인",IF(H254="","수량 입력",IF(FALSE,"",IF(INDEX('상품표'!$B$4:$B$18,MATCH(C254,'상품표'!$A$4:$A$18,0))="의류",IF(D254="","사이즈 선택",IF(AND(LEFT(C254,4)="후드집업",OR(D254="XXS",D254="XS")),"후드는 S부터",IF(COUNTA(E254:G254)&gt;0,"세트 옵션은 세트만","OK"))),IF(INDEX('상품표'!$B$4:$B$18,MATCH(C254,'상품표'!$A$4:$A$18,0))="세트",IF(COUNTA(E254:G254)&lt;3,"세트 옵션 선택",IF(D254&lt;&gt;"","사이즈 불필요","OK")),IF(COUNTA(E254:G254)&gt;0,"세트 옵션은 세트만",IF(D254&lt;&gt;"","사이즈 불필요","OK"))))))))</f>
        <v/>
      </c>
      <c r="M254" s="44"/>
      <c r="N254" s="45"/>
    </row>
    <row r="255" ht="15.75" customHeight="1">
      <c r="A255" s="32">
        <v>250.0</v>
      </c>
      <c r="B255" s="33"/>
      <c r="C255" s="33"/>
      <c r="D255" s="33"/>
      <c r="E255" s="33"/>
      <c r="F255" s="33"/>
      <c r="G255" s="33"/>
      <c r="H255" s="33"/>
      <c r="I255" s="20" t="str">
        <f t="array" ref="I255">IF(C255="","",IFERROR(INDEX('상품표'!$C$4:$C$18,MATCH(C255,'상품표'!$A$4:$A$18,0)),""))</f>
        <v/>
      </c>
      <c r="J255" s="20" t="str">
        <f>IF(I255="","",ROUND(I255*(1-'상품표'!$G$4),0))</f>
        <v/>
      </c>
      <c r="K255" s="20" t="str">
        <f t="shared" si="1"/>
        <v/>
      </c>
      <c r="L255" s="32" t="str">
        <f t="array" ref="L255">IF(C255="","",IF(ISNA(MATCH(C255,'상품표'!$A$4:$A$18,0)),"상품명 확인",IF(H255="","수량 입력",IF(FALSE,"",IF(INDEX('상품표'!$B$4:$B$18,MATCH(C255,'상품표'!$A$4:$A$18,0))="의류",IF(D255="","사이즈 선택",IF(AND(LEFT(C255,4)="후드집업",OR(D255="XXS",D255="XS")),"후드는 S부터",IF(COUNTA(E255:G255)&gt;0,"세트 옵션은 세트만","OK"))),IF(INDEX('상품표'!$B$4:$B$18,MATCH(C255,'상품표'!$A$4:$A$18,0))="세트",IF(COUNTA(E255:G255)&lt;3,"세트 옵션 선택",IF(D255&lt;&gt;"","사이즈 불필요","OK")),IF(COUNTA(E255:G255)&gt;0,"세트 옵션은 세트만",IF(D255&lt;&gt;"","사이즈 불필요","OK"))))))))</f>
        <v/>
      </c>
      <c r="M255" s="44"/>
      <c r="N255" s="45"/>
    </row>
    <row r="256" ht="15.75" customHeight="1">
      <c r="A256" s="32">
        <v>251.0</v>
      </c>
      <c r="B256" s="33"/>
      <c r="C256" s="33"/>
      <c r="D256" s="33"/>
      <c r="E256" s="33"/>
      <c r="F256" s="33"/>
      <c r="G256" s="33"/>
      <c r="H256" s="33"/>
      <c r="I256" s="20" t="str">
        <f t="array" ref="I256">IF(C256="","",IFERROR(INDEX('상품표'!$C$4:$C$18,MATCH(C256,'상품표'!$A$4:$A$18,0)),""))</f>
        <v/>
      </c>
      <c r="J256" s="20" t="str">
        <f>IF(I256="","",ROUND(I256*(1-'상품표'!$G$4),0))</f>
        <v/>
      </c>
      <c r="K256" s="20" t="str">
        <f t="shared" si="1"/>
        <v/>
      </c>
      <c r="L256" s="32" t="str">
        <f t="array" ref="L256">IF(C256="","",IF(ISNA(MATCH(C256,'상품표'!$A$4:$A$18,0)),"상품명 확인",IF(H256="","수량 입력",IF(FALSE,"",IF(INDEX('상품표'!$B$4:$B$18,MATCH(C256,'상품표'!$A$4:$A$18,0))="의류",IF(D256="","사이즈 선택",IF(AND(LEFT(C256,4)="후드집업",OR(D256="XXS",D256="XS")),"후드는 S부터",IF(COUNTA(E256:G256)&gt;0,"세트 옵션은 세트만","OK"))),IF(INDEX('상품표'!$B$4:$B$18,MATCH(C256,'상품표'!$A$4:$A$18,0))="세트",IF(COUNTA(E256:G256)&lt;3,"세트 옵션 선택",IF(D256&lt;&gt;"","사이즈 불필요","OK")),IF(COUNTA(E256:G256)&gt;0,"세트 옵션은 세트만",IF(D256&lt;&gt;"","사이즈 불필요","OK"))))))))</f>
        <v/>
      </c>
      <c r="M256" s="44"/>
      <c r="N256" s="45"/>
    </row>
    <row r="257" ht="15.75" customHeight="1">
      <c r="A257" s="32">
        <v>252.0</v>
      </c>
      <c r="B257" s="33"/>
      <c r="C257" s="33"/>
      <c r="D257" s="33"/>
      <c r="E257" s="33"/>
      <c r="F257" s="33"/>
      <c r="G257" s="33"/>
      <c r="H257" s="33"/>
      <c r="I257" s="20" t="str">
        <f t="array" ref="I257">IF(C257="","",IFERROR(INDEX('상품표'!$C$4:$C$18,MATCH(C257,'상품표'!$A$4:$A$18,0)),""))</f>
        <v/>
      </c>
      <c r="J257" s="20" t="str">
        <f>IF(I257="","",ROUND(I257*(1-'상품표'!$G$4),0))</f>
        <v/>
      </c>
      <c r="K257" s="20" t="str">
        <f t="shared" si="1"/>
        <v/>
      </c>
      <c r="L257" s="32" t="str">
        <f t="array" ref="L257">IF(C257="","",IF(ISNA(MATCH(C257,'상품표'!$A$4:$A$18,0)),"상품명 확인",IF(H257="","수량 입력",IF(FALSE,"",IF(INDEX('상품표'!$B$4:$B$18,MATCH(C257,'상품표'!$A$4:$A$18,0))="의류",IF(D257="","사이즈 선택",IF(AND(LEFT(C257,4)="후드집업",OR(D257="XXS",D257="XS")),"후드는 S부터",IF(COUNTA(E257:G257)&gt;0,"세트 옵션은 세트만","OK"))),IF(INDEX('상품표'!$B$4:$B$18,MATCH(C257,'상품표'!$A$4:$A$18,0))="세트",IF(COUNTA(E257:G257)&lt;3,"세트 옵션 선택",IF(D257&lt;&gt;"","사이즈 불필요","OK")),IF(COUNTA(E257:G257)&gt;0,"세트 옵션은 세트만",IF(D257&lt;&gt;"","사이즈 불필요","OK"))))))))</f>
        <v/>
      </c>
      <c r="M257" s="44"/>
      <c r="N257" s="45"/>
    </row>
    <row r="258" ht="15.75" customHeight="1">
      <c r="A258" s="32">
        <v>253.0</v>
      </c>
      <c r="B258" s="33"/>
      <c r="C258" s="33"/>
      <c r="D258" s="33"/>
      <c r="E258" s="33"/>
      <c r="F258" s="33"/>
      <c r="G258" s="33"/>
      <c r="H258" s="33"/>
      <c r="I258" s="20" t="str">
        <f t="array" ref="I258">IF(C258="","",IFERROR(INDEX('상품표'!$C$4:$C$18,MATCH(C258,'상품표'!$A$4:$A$18,0)),""))</f>
        <v/>
      </c>
      <c r="J258" s="20" t="str">
        <f>IF(I258="","",ROUND(I258*(1-'상품표'!$G$4),0))</f>
        <v/>
      </c>
      <c r="K258" s="20" t="str">
        <f t="shared" si="1"/>
        <v/>
      </c>
      <c r="L258" s="32" t="str">
        <f t="array" ref="L258">IF(C258="","",IF(ISNA(MATCH(C258,'상품표'!$A$4:$A$18,0)),"상품명 확인",IF(H258="","수량 입력",IF(FALSE,"",IF(INDEX('상품표'!$B$4:$B$18,MATCH(C258,'상품표'!$A$4:$A$18,0))="의류",IF(D258="","사이즈 선택",IF(AND(LEFT(C258,4)="후드집업",OR(D258="XXS",D258="XS")),"후드는 S부터",IF(COUNTA(E258:G258)&gt;0,"세트 옵션은 세트만","OK"))),IF(INDEX('상품표'!$B$4:$B$18,MATCH(C258,'상품표'!$A$4:$A$18,0))="세트",IF(COUNTA(E258:G258)&lt;3,"세트 옵션 선택",IF(D258&lt;&gt;"","사이즈 불필요","OK")),IF(COUNTA(E258:G258)&gt;0,"세트 옵션은 세트만",IF(D258&lt;&gt;"","사이즈 불필요","OK"))))))))</f>
        <v/>
      </c>
      <c r="M258" s="44"/>
      <c r="N258" s="45"/>
    </row>
    <row r="259" ht="15.75" customHeight="1">
      <c r="A259" s="32">
        <v>254.0</v>
      </c>
      <c r="B259" s="33"/>
      <c r="C259" s="33"/>
      <c r="D259" s="33"/>
      <c r="E259" s="33"/>
      <c r="F259" s="33"/>
      <c r="G259" s="33"/>
      <c r="H259" s="33"/>
      <c r="I259" s="20" t="str">
        <f t="array" ref="I259">IF(C259="","",IFERROR(INDEX('상품표'!$C$4:$C$18,MATCH(C259,'상품표'!$A$4:$A$18,0)),""))</f>
        <v/>
      </c>
      <c r="J259" s="20" t="str">
        <f>IF(I259="","",ROUND(I259*(1-'상품표'!$G$4),0))</f>
        <v/>
      </c>
      <c r="K259" s="20" t="str">
        <f t="shared" si="1"/>
        <v/>
      </c>
      <c r="L259" s="32" t="str">
        <f t="array" ref="L259">IF(C259="","",IF(ISNA(MATCH(C259,'상품표'!$A$4:$A$18,0)),"상품명 확인",IF(H259="","수량 입력",IF(FALSE,"",IF(INDEX('상품표'!$B$4:$B$18,MATCH(C259,'상품표'!$A$4:$A$18,0))="의류",IF(D259="","사이즈 선택",IF(AND(LEFT(C259,4)="후드집업",OR(D259="XXS",D259="XS")),"후드는 S부터",IF(COUNTA(E259:G259)&gt;0,"세트 옵션은 세트만","OK"))),IF(INDEX('상품표'!$B$4:$B$18,MATCH(C259,'상품표'!$A$4:$A$18,0))="세트",IF(COUNTA(E259:G259)&lt;3,"세트 옵션 선택",IF(D259&lt;&gt;"","사이즈 불필요","OK")),IF(COUNTA(E259:G259)&gt;0,"세트 옵션은 세트만",IF(D259&lt;&gt;"","사이즈 불필요","OK"))))))))</f>
        <v/>
      </c>
      <c r="M259" s="44"/>
      <c r="N259" s="45"/>
    </row>
    <row r="260" ht="15.75" customHeight="1">
      <c r="A260" s="32">
        <v>255.0</v>
      </c>
      <c r="B260" s="33"/>
      <c r="C260" s="33"/>
      <c r="D260" s="33"/>
      <c r="E260" s="33"/>
      <c r="F260" s="33"/>
      <c r="G260" s="33"/>
      <c r="H260" s="33"/>
      <c r="I260" s="20" t="str">
        <f t="array" ref="I260">IF(C260="","",IFERROR(INDEX('상품표'!$C$4:$C$18,MATCH(C260,'상품표'!$A$4:$A$18,0)),""))</f>
        <v/>
      </c>
      <c r="J260" s="20" t="str">
        <f>IF(I260="","",ROUND(I260*(1-'상품표'!$G$4),0))</f>
        <v/>
      </c>
      <c r="K260" s="20" t="str">
        <f t="shared" si="1"/>
        <v/>
      </c>
      <c r="L260" s="32" t="str">
        <f t="array" ref="L260">IF(C260="","",IF(ISNA(MATCH(C260,'상품표'!$A$4:$A$18,0)),"상품명 확인",IF(H260="","수량 입력",IF(FALSE,"",IF(INDEX('상품표'!$B$4:$B$18,MATCH(C260,'상품표'!$A$4:$A$18,0))="의류",IF(D260="","사이즈 선택",IF(AND(LEFT(C260,4)="후드집업",OR(D260="XXS",D260="XS")),"후드는 S부터",IF(COUNTA(E260:G260)&gt;0,"세트 옵션은 세트만","OK"))),IF(INDEX('상품표'!$B$4:$B$18,MATCH(C260,'상품표'!$A$4:$A$18,0))="세트",IF(COUNTA(E260:G260)&lt;3,"세트 옵션 선택",IF(D260&lt;&gt;"","사이즈 불필요","OK")),IF(COUNTA(E260:G260)&gt;0,"세트 옵션은 세트만",IF(D260&lt;&gt;"","사이즈 불필요","OK"))))))))</f>
        <v/>
      </c>
      <c r="M260" s="44"/>
      <c r="N260" s="45"/>
    </row>
    <row r="261" ht="15.75" customHeight="1">
      <c r="A261" s="32">
        <v>256.0</v>
      </c>
      <c r="B261" s="33"/>
      <c r="C261" s="33"/>
      <c r="D261" s="33"/>
      <c r="E261" s="33"/>
      <c r="F261" s="33"/>
      <c r="G261" s="33"/>
      <c r="H261" s="33"/>
      <c r="I261" s="20" t="str">
        <f t="array" ref="I261">IF(C261="","",IFERROR(INDEX('상품표'!$C$4:$C$18,MATCH(C261,'상품표'!$A$4:$A$18,0)),""))</f>
        <v/>
      </c>
      <c r="J261" s="20" t="str">
        <f>IF(I261="","",ROUND(I261*(1-'상품표'!$G$4),0))</f>
        <v/>
      </c>
      <c r="K261" s="20" t="str">
        <f t="shared" si="1"/>
        <v/>
      </c>
      <c r="L261" s="32" t="str">
        <f t="array" ref="L261">IF(C261="","",IF(ISNA(MATCH(C261,'상품표'!$A$4:$A$18,0)),"상품명 확인",IF(H261="","수량 입력",IF(FALSE,"",IF(INDEX('상품표'!$B$4:$B$18,MATCH(C261,'상품표'!$A$4:$A$18,0))="의류",IF(D261="","사이즈 선택",IF(AND(LEFT(C261,4)="후드집업",OR(D261="XXS",D261="XS")),"후드는 S부터",IF(COUNTA(E261:G261)&gt;0,"세트 옵션은 세트만","OK"))),IF(INDEX('상품표'!$B$4:$B$18,MATCH(C261,'상품표'!$A$4:$A$18,0))="세트",IF(COUNTA(E261:G261)&lt;3,"세트 옵션 선택",IF(D261&lt;&gt;"","사이즈 불필요","OK")),IF(COUNTA(E261:G261)&gt;0,"세트 옵션은 세트만",IF(D261&lt;&gt;"","사이즈 불필요","OK"))))))))</f>
        <v/>
      </c>
      <c r="M261" s="44"/>
      <c r="N261" s="45"/>
    </row>
    <row r="262" ht="15.75" customHeight="1">
      <c r="A262" s="32">
        <v>257.0</v>
      </c>
      <c r="B262" s="33"/>
      <c r="C262" s="33"/>
      <c r="D262" s="33"/>
      <c r="E262" s="33"/>
      <c r="F262" s="33"/>
      <c r="G262" s="33"/>
      <c r="H262" s="33"/>
      <c r="I262" s="20" t="str">
        <f t="array" ref="I262">IF(C262="","",IFERROR(INDEX('상품표'!$C$4:$C$18,MATCH(C262,'상품표'!$A$4:$A$18,0)),""))</f>
        <v/>
      </c>
      <c r="J262" s="20" t="str">
        <f>IF(I262="","",ROUND(I262*(1-'상품표'!$G$4),0))</f>
        <v/>
      </c>
      <c r="K262" s="20" t="str">
        <f t="shared" si="1"/>
        <v/>
      </c>
      <c r="L262" s="32" t="str">
        <f t="array" ref="L262">IF(C262="","",IF(ISNA(MATCH(C262,'상품표'!$A$4:$A$18,0)),"상품명 확인",IF(H262="","수량 입력",IF(FALSE,"",IF(INDEX('상품표'!$B$4:$B$18,MATCH(C262,'상품표'!$A$4:$A$18,0))="의류",IF(D262="","사이즈 선택",IF(AND(LEFT(C262,4)="후드집업",OR(D262="XXS",D262="XS")),"후드는 S부터",IF(COUNTA(E262:G262)&gt;0,"세트 옵션은 세트만","OK"))),IF(INDEX('상품표'!$B$4:$B$18,MATCH(C262,'상품표'!$A$4:$A$18,0))="세트",IF(COUNTA(E262:G262)&lt;3,"세트 옵션 선택",IF(D262&lt;&gt;"","사이즈 불필요","OK")),IF(COUNTA(E262:G262)&gt;0,"세트 옵션은 세트만",IF(D262&lt;&gt;"","사이즈 불필요","OK"))))))))</f>
        <v/>
      </c>
      <c r="M262" s="44"/>
      <c r="N262" s="45"/>
    </row>
    <row r="263" ht="15.75" customHeight="1">
      <c r="A263" s="32">
        <v>258.0</v>
      </c>
      <c r="B263" s="33"/>
      <c r="C263" s="33"/>
      <c r="D263" s="33"/>
      <c r="E263" s="33"/>
      <c r="F263" s="33"/>
      <c r="G263" s="33"/>
      <c r="H263" s="33"/>
      <c r="I263" s="20" t="str">
        <f t="array" ref="I263">IF(C263="","",IFERROR(INDEX('상품표'!$C$4:$C$18,MATCH(C263,'상품표'!$A$4:$A$18,0)),""))</f>
        <v/>
      </c>
      <c r="J263" s="20" t="str">
        <f>IF(I263="","",ROUND(I263*(1-'상품표'!$G$4),0))</f>
        <v/>
      </c>
      <c r="K263" s="20" t="str">
        <f t="shared" si="1"/>
        <v/>
      </c>
      <c r="L263" s="32" t="str">
        <f t="array" ref="L263">IF(C263="","",IF(ISNA(MATCH(C263,'상품표'!$A$4:$A$18,0)),"상품명 확인",IF(H263="","수량 입력",IF(FALSE,"",IF(INDEX('상품표'!$B$4:$B$18,MATCH(C263,'상품표'!$A$4:$A$18,0))="의류",IF(D263="","사이즈 선택",IF(AND(LEFT(C263,4)="후드집업",OR(D263="XXS",D263="XS")),"후드는 S부터",IF(COUNTA(E263:G263)&gt;0,"세트 옵션은 세트만","OK"))),IF(INDEX('상품표'!$B$4:$B$18,MATCH(C263,'상품표'!$A$4:$A$18,0))="세트",IF(COUNTA(E263:G263)&lt;3,"세트 옵션 선택",IF(D263&lt;&gt;"","사이즈 불필요","OK")),IF(COUNTA(E263:G263)&gt;0,"세트 옵션은 세트만",IF(D263&lt;&gt;"","사이즈 불필요","OK"))))))))</f>
        <v/>
      </c>
      <c r="M263" s="44"/>
      <c r="N263" s="45"/>
    </row>
    <row r="264" ht="15.75" customHeight="1">
      <c r="A264" s="32">
        <v>259.0</v>
      </c>
      <c r="B264" s="33"/>
      <c r="C264" s="33"/>
      <c r="D264" s="33"/>
      <c r="E264" s="33"/>
      <c r="F264" s="33"/>
      <c r="G264" s="33"/>
      <c r="H264" s="33"/>
      <c r="I264" s="20" t="str">
        <f t="array" ref="I264">IF(C264="","",IFERROR(INDEX('상품표'!$C$4:$C$18,MATCH(C264,'상품표'!$A$4:$A$18,0)),""))</f>
        <v/>
      </c>
      <c r="J264" s="20" t="str">
        <f>IF(I264="","",ROUND(I264*(1-'상품표'!$G$4),0))</f>
        <v/>
      </c>
      <c r="K264" s="20" t="str">
        <f t="shared" si="1"/>
        <v/>
      </c>
      <c r="L264" s="32" t="str">
        <f t="array" ref="L264">IF(C264="","",IF(ISNA(MATCH(C264,'상품표'!$A$4:$A$18,0)),"상품명 확인",IF(H264="","수량 입력",IF(FALSE,"",IF(INDEX('상품표'!$B$4:$B$18,MATCH(C264,'상품표'!$A$4:$A$18,0))="의류",IF(D264="","사이즈 선택",IF(AND(LEFT(C264,4)="후드집업",OR(D264="XXS",D264="XS")),"후드는 S부터",IF(COUNTA(E264:G264)&gt;0,"세트 옵션은 세트만","OK"))),IF(INDEX('상품표'!$B$4:$B$18,MATCH(C264,'상품표'!$A$4:$A$18,0))="세트",IF(COUNTA(E264:G264)&lt;3,"세트 옵션 선택",IF(D264&lt;&gt;"","사이즈 불필요","OK")),IF(COUNTA(E264:G264)&gt;0,"세트 옵션은 세트만",IF(D264&lt;&gt;"","사이즈 불필요","OK"))))))))</f>
        <v/>
      </c>
      <c r="M264" s="44"/>
      <c r="N264" s="45"/>
    </row>
    <row r="265" ht="15.75" customHeight="1">
      <c r="A265" s="32">
        <v>260.0</v>
      </c>
      <c r="B265" s="33"/>
      <c r="C265" s="33"/>
      <c r="D265" s="33"/>
      <c r="E265" s="33"/>
      <c r="F265" s="33"/>
      <c r="G265" s="33"/>
      <c r="H265" s="33"/>
      <c r="I265" s="20" t="str">
        <f t="array" ref="I265">IF(C265="","",IFERROR(INDEX('상품표'!$C$4:$C$18,MATCH(C265,'상품표'!$A$4:$A$18,0)),""))</f>
        <v/>
      </c>
      <c r="J265" s="20" t="str">
        <f>IF(I265="","",ROUND(I265*(1-'상품표'!$G$4),0))</f>
        <v/>
      </c>
      <c r="K265" s="20" t="str">
        <f t="shared" si="1"/>
        <v/>
      </c>
      <c r="L265" s="32" t="str">
        <f t="array" ref="L265">IF(C265="","",IF(ISNA(MATCH(C265,'상품표'!$A$4:$A$18,0)),"상품명 확인",IF(H265="","수량 입력",IF(FALSE,"",IF(INDEX('상품표'!$B$4:$B$18,MATCH(C265,'상품표'!$A$4:$A$18,0))="의류",IF(D265="","사이즈 선택",IF(AND(LEFT(C265,4)="후드집업",OR(D265="XXS",D265="XS")),"후드는 S부터",IF(COUNTA(E265:G265)&gt;0,"세트 옵션은 세트만","OK"))),IF(INDEX('상품표'!$B$4:$B$18,MATCH(C265,'상품표'!$A$4:$A$18,0))="세트",IF(COUNTA(E265:G265)&lt;3,"세트 옵션 선택",IF(D265&lt;&gt;"","사이즈 불필요","OK")),IF(COUNTA(E265:G265)&gt;0,"세트 옵션은 세트만",IF(D265&lt;&gt;"","사이즈 불필요","OK"))))))))</f>
        <v/>
      </c>
      <c r="M265" s="44"/>
      <c r="N265" s="45"/>
    </row>
    <row r="266" ht="15.75" customHeight="1">
      <c r="A266" s="32">
        <v>261.0</v>
      </c>
      <c r="B266" s="33"/>
      <c r="C266" s="33"/>
      <c r="D266" s="33"/>
      <c r="E266" s="33"/>
      <c r="F266" s="33"/>
      <c r="G266" s="33"/>
      <c r="H266" s="33"/>
      <c r="I266" s="20" t="str">
        <f t="array" ref="I266">IF(C266="","",IFERROR(INDEX('상품표'!$C$4:$C$18,MATCH(C266,'상품표'!$A$4:$A$18,0)),""))</f>
        <v/>
      </c>
      <c r="J266" s="20" t="str">
        <f>IF(I266="","",ROUND(I266*(1-'상품표'!$G$4),0))</f>
        <v/>
      </c>
      <c r="K266" s="20" t="str">
        <f t="shared" si="1"/>
        <v/>
      </c>
      <c r="L266" s="32" t="str">
        <f t="array" ref="L266">IF(C266="","",IF(ISNA(MATCH(C266,'상품표'!$A$4:$A$18,0)),"상품명 확인",IF(H266="","수량 입력",IF(FALSE,"",IF(INDEX('상품표'!$B$4:$B$18,MATCH(C266,'상품표'!$A$4:$A$18,0))="의류",IF(D266="","사이즈 선택",IF(AND(LEFT(C266,4)="후드집업",OR(D266="XXS",D266="XS")),"후드는 S부터",IF(COUNTA(E266:G266)&gt;0,"세트 옵션은 세트만","OK"))),IF(INDEX('상품표'!$B$4:$B$18,MATCH(C266,'상품표'!$A$4:$A$18,0))="세트",IF(COUNTA(E266:G266)&lt;3,"세트 옵션 선택",IF(D266&lt;&gt;"","사이즈 불필요","OK")),IF(COUNTA(E266:G266)&gt;0,"세트 옵션은 세트만",IF(D266&lt;&gt;"","사이즈 불필요","OK"))))))))</f>
        <v/>
      </c>
      <c r="M266" s="44"/>
      <c r="N266" s="45"/>
    </row>
    <row r="267" ht="15.75" customHeight="1">
      <c r="A267" s="32">
        <v>262.0</v>
      </c>
      <c r="B267" s="33"/>
      <c r="C267" s="33"/>
      <c r="D267" s="33"/>
      <c r="E267" s="33"/>
      <c r="F267" s="33"/>
      <c r="G267" s="33"/>
      <c r="H267" s="33"/>
      <c r="I267" s="20" t="str">
        <f t="array" ref="I267">IF(C267="","",IFERROR(INDEX('상품표'!$C$4:$C$18,MATCH(C267,'상품표'!$A$4:$A$18,0)),""))</f>
        <v/>
      </c>
      <c r="J267" s="20" t="str">
        <f>IF(I267="","",ROUND(I267*(1-'상품표'!$G$4),0))</f>
        <v/>
      </c>
      <c r="K267" s="20" t="str">
        <f t="shared" si="1"/>
        <v/>
      </c>
      <c r="L267" s="32" t="str">
        <f t="array" ref="L267">IF(C267="","",IF(ISNA(MATCH(C267,'상품표'!$A$4:$A$18,0)),"상품명 확인",IF(H267="","수량 입력",IF(FALSE,"",IF(INDEX('상품표'!$B$4:$B$18,MATCH(C267,'상품표'!$A$4:$A$18,0))="의류",IF(D267="","사이즈 선택",IF(AND(LEFT(C267,4)="후드집업",OR(D267="XXS",D267="XS")),"후드는 S부터",IF(COUNTA(E267:G267)&gt;0,"세트 옵션은 세트만","OK"))),IF(INDEX('상품표'!$B$4:$B$18,MATCH(C267,'상품표'!$A$4:$A$18,0))="세트",IF(COUNTA(E267:G267)&lt;3,"세트 옵션 선택",IF(D267&lt;&gt;"","사이즈 불필요","OK")),IF(COUNTA(E267:G267)&gt;0,"세트 옵션은 세트만",IF(D267&lt;&gt;"","사이즈 불필요","OK"))))))))</f>
        <v/>
      </c>
      <c r="M267" s="44"/>
      <c r="N267" s="45"/>
    </row>
    <row r="268" ht="15.75" customHeight="1">
      <c r="A268" s="32">
        <v>263.0</v>
      </c>
      <c r="B268" s="33"/>
      <c r="C268" s="33"/>
      <c r="D268" s="33"/>
      <c r="E268" s="33"/>
      <c r="F268" s="33"/>
      <c r="G268" s="33"/>
      <c r="H268" s="33"/>
      <c r="I268" s="20" t="str">
        <f t="array" ref="I268">IF(C268="","",IFERROR(INDEX('상품표'!$C$4:$C$18,MATCH(C268,'상품표'!$A$4:$A$18,0)),""))</f>
        <v/>
      </c>
      <c r="J268" s="20" t="str">
        <f>IF(I268="","",ROUND(I268*(1-'상품표'!$G$4),0))</f>
        <v/>
      </c>
      <c r="K268" s="20" t="str">
        <f t="shared" si="1"/>
        <v/>
      </c>
      <c r="L268" s="32" t="str">
        <f t="array" ref="L268">IF(C268="","",IF(ISNA(MATCH(C268,'상품표'!$A$4:$A$18,0)),"상품명 확인",IF(H268="","수량 입력",IF(FALSE,"",IF(INDEX('상품표'!$B$4:$B$18,MATCH(C268,'상품표'!$A$4:$A$18,0))="의류",IF(D268="","사이즈 선택",IF(AND(LEFT(C268,4)="후드집업",OR(D268="XXS",D268="XS")),"후드는 S부터",IF(COUNTA(E268:G268)&gt;0,"세트 옵션은 세트만","OK"))),IF(INDEX('상품표'!$B$4:$B$18,MATCH(C268,'상품표'!$A$4:$A$18,0))="세트",IF(COUNTA(E268:G268)&lt;3,"세트 옵션 선택",IF(D268&lt;&gt;"","사이즈 불필요","OK")),IF(COUNTA(E268:G268)&gt;0,"세트 옵션은 세트만",IF(D268&lt;&gt;"","사이즈 불필요","OK"))))))))</f>
        <v/>
      </c>
      <c r="M268" s="44"/>
      <c r="N268" s="45"/>
    </row>
    <row r="269" ht="15.75" customHeight="1">
      <c r="A269" s="32">
        <v>264.0</v>
      </c>
      <c r="B269" s="33"/>
      <c r="C269" s="33"/>
      <c r="D269" s="33"/>
      <c r="E269" s="33"/>
      <c r="F269" s="33"/>
      <c r="G269" s="33"/>
      <c r="H269" s="33"/>
      <c r="I269" s="20" t="str">
        <f t="array" ref="I269">IF(C269="","",IFERROR(INDEX('상품표'!$C$4:$C$18,MATCH(C269,'상품표'!$A$4:$A$18,0)),""))</f>
        <v/>
      </c>
      <c r="J269" s="20" t="str">
        <f>IF(I269="","",ROUND(I269*(1-'상품표'!$G$4),0))</f>
        <v/>
      </c>
      <c r="K269" s="20" t="str">
        <f t="shared" si="1"/>
        <v/>
      </c>
      <c r="L269" s="32" t="str">
        <f t="array" ref="L269">IF(C269="","",IF(ISNA(MATCH(C269,'상품표'!$A$4:$A$18,0)),"상품명 확인",IF(H269="","수량 입력",IF(FALSE,"",IF(INDEX('상품표'!$B$4:$B$18,MATCH(C269,'상품표'!$A$4:$A$18,0))="의류",IF(D269="","사이즈 선택",IF(AND(LEFT(C269,4)="후드집업",OR(D269="XXS",D269="XS")),"후드는 S부터",IF(COUNTA(E269:G269)&gt;0,"세트 옵션은 세트만","OK"))),IF(INDEX('상품표'!$B$4:$B$18,MATCH(C269,'상품표'!$A$4:$A$18,0))="세트",IF(COUNTA(E269:G269)&lt;3,"세트 옵션 선택",IF(D269&lt;&gt;"","사이즈 불필요","OK")),IF(COUNTA(E269:G269)&gt;0,"세트 옵션은 세트만",IF(D269&lt;&gt;"","사이즈 불필요","OK"))))))))</f>
        <v/>
      </c>
      <c r="M269" s="44"/>
      <c r="N269" s="45"/>
    </row>
    <row r="270" ht="15.75" customHeight="1">
      <c r="A270" s="32">
        <v>265.0</v>
      </c>
      <c r="B270" s="33"/>
      <c r="C270" s="33"/>
      <c r="D270" s="33"/>
      <c r="E270" s="33"/>
      <c r="F270" s="33"/>
      <c r="G270" s="33"/>
      <c r="H270" s="33"/>
      <c r="I270" s="20" t="str">
        <f t="array" ref="I270">IF(C270="","",IFERROR(INDEX('상품표'!$C$4:$C$18,MATCH(C270,'상품표'!$A$4:$A$18,0)),""))</f>
        <v/>
      </c>
      <c r="J270" s="20" t="str">
        <f>IF(I270="","",ROUND(I270*(1-'상품표'!$G$4),0))</f>
        <v/>
      </c>
      <c r="K270" s="20" t="str">
        <f t="shared" si="1"/>
        <v/>
      </c>
      <c r="L270" s="32" t="str">
        <f t="array" ref="L270">IF(C270="","",IF(ISNA(MATCH(C270,'상품표'!$A$4:$A$18,0)),"상품명 확인",IF(H270="","수량 입력",IF(FALSE,"",IF(INDEX('상품표'!$B$4:$B$18,MATCH(C270,'상품표'!$A$4:$A$18,0))="의류",IF(D270="","사이즈 선택",IF(AND(LEFT(C270,4)="후드집업",OR(D270="XXS",D270="XS")),"후드는 S부터",IF(COUNTA(E270:G270)&gt;0,"세트 옵션은 세트만","OK"))),IF(INDEX('상품표'!$B$4:$B$18,MATCH(C270,'상품표'!$A$4:$A$18,0))="세트",IF(COUNTA(E270:G270)&lt;3,"세트 옵션 선택",IF(D270&lt;&gt;"","사이즈 불필요","OK")),IF(COUNTA(E270:G270)&gt;0,"세트 옵션은 세트만",IF(D270&lt;&gt;"","사이즈 불필요","OK"))))))))</f>
        <v/>
      </c>
      <c r="M270" s="44"/>
      <c r="N270" s="45"/>
    </row>
    <row r="271" ht="15.75" customHeight="1">
      <c r="A271" s="32">
        <v>266.0</v>
      </c>
      <c r="B271" s="33"/>
      <c r="C271" s="33"/>
      <c r="D271" s="33"/>
      <c r="E271" s="33"/>
      <c r="F271" s="33"/>
      <c r="G271" s="33"/>
      <c r="H271" s="33"/>
      <c r="I271" s="20" t="str">
        <f t="array" ref="I271">IF(C271="","",IFERROR(INDEX('상품표'!$C$4:$C$18,MATCH(C271,'상품표'!$A$4:$A$18,0)),""))</f>
        <v/>
      </c>
      <c r="J271" s="20" t="str">
        <f>IF(I271="","",ROUND(I271*(1-'상품표'!$G$4),0))</f>
        <v/>
      </c>
      <c r="K271" s="20" t="str">
        <f t="shared" si="1"/>
        <v/>
      </c>
      <c r="L271" s="32" t="str">
        <f t="array" ref="L271">IF(C271="","",IF(ISNA(MATCH(C271,'상품표'!$A$4:$A$18,0)),"상품명 확인",IF(H271="","수량 입력",IF(FALSE,"",IF(INDEX('상품표'!$B$4:$B$18,MATCH(C271,'상품표'!$A$4:$A$18,0))="의류",IF(D271="","사이즈 선택",IF(AND(LEFT(C271,4)="후드집업",OR(D271="XXS",D271="XS")),"후드는 S부터",IF(COUNTA(E271:G271)&gt;0,"세트 옵션은 세트만","OK"))),IF(INDEX('상품표'!$B$4:$B$18,MATCH(C271,'상품표'!$A$4:$A$18,0))="세트",IF(COUNTA(E271:G271)&lt;3,"세트 옵션 선택",IF(D271&lt;&gt;"","사이즈 불필요","OK")),IF(COUNTA(E271:G271)&gt;0,"세트 옵션은 세트만",IF(D271&lt;&gt;"","사이즈 불필요","OK"))))))))</f>
        <v/>
      </c>
      <c r="M271" s="44"/>
      <c r="N271" s="45"/>
    </row>
    <row r="272" ht="15.75" customHeight="1">
      <c r="A272" s="32">
        <v>267.0</v>
      </c>
      <c r="B272" s="33"/>
      <c r="C272" s="33"/>
      <c r="D272" s="33"/>
      <c r="E272" s="33"/>
      <c r="F272" s="33"/>
      <c r="G272" s="33"/>
      <c r="H272" s="33"/>
      <c r="I272" s="20" t="str">
        <f t="array" ref="I272">IF(C272="","",IFERROR(INDEX('상품표'!$C$4:$C$18,MATCH(C272,'상품표'!$A$4:$A$18,0)),""))</f>
        <v/>
      </c>
      <c r="J272" s="20" t="str">
        <f>IF(I272="","",ROUND(I272*(1-'상품표'!$G$4),0))</f>
        <v/>
      </c>
      <c r="K272" s="20" t="str">
        <f t="shared" si="1"/>
        <v/>
      </c>
      <c r="L272" s="32" t="str">
        <f t="array" ref="L272">IF(C272="","",IF(ISNA(MATCH(C272,'상품표'!$A$4:$A$18,0)),"상품명 확인",IF(H272="","수량 입력",IF(FALSE,"",IF(INDEX('상품표'!$B$4:$B$18,MATCH(C272,'상품표'!$A$4:$A$18,0))="의류",IF(D272="","사이즈 선택",IF(AND(LEFT(C272,4)="후드집업",OR(D272="XXS",D272="XS")),"후드는 S부터",IF(COUNTA(E272:G272)&gt;0,"세트 옵션은 세트만","OK"))),IF(INDEX('상품표'!$B$4:$B$18,MATCH(C272,'상품표'!$A$4:$A$18,0))="세트",IF(COUNTA(E272:G272)&lt;3,"세트 옵션 선택",IF(D272&lt;&gt;"","사이즈 불필요","OK")),IF(COUNTA(E272:G272)&gt;0,"세트 옵션은 세트만",IF(D272&lt;&gt;"","사이즈 불필요","OK"))))))))</f>
        <v/>
      </c>
      <c r="M272" s="44"/>
      <c r="N272" s="45"/>
    </row>
    <row r="273" ht="15.75" customHeight="1">
      <c r="A273" s="32">
        <v>268.0</v>
      </c>
      <c r="B273" s="33"/>
      <c r="C273" s="33"/>
      <c r="D273" s="33"/>
      <c r="E273" s="33"/>
      <c r="F273" s="33"/>
      <c r="G273" s="33"/>
      <c r="H273" s="33"/>
      <c r="I273" s="20" t="str">
        <f t="array" ref="I273">IF(C273="","",IFERROR(INDEX('상품표'!$C$4:$C$18,MATCH(C273,'상품표'!$A$4:$A$18,0)),""))</f>
        <v/>
      </c>
      <c r="J273" s="20" t="str">
        <f>IF(I273="","",ROUND(I273*(1-'상품표'!$G$4),0))</f>
        <v/>
      </c>
      <c r="K273" s="20" t="str">
        <f t="shared" si="1"/>
        <v/>
      </c>
      <c r="L273" s="32" t="str">
        <f t="array" ref="L273">IF(C273="","",IF(ISNA(MATCH(C273,'상품표'!$A$4:$A$18,0)),"상품명 확인",IF(H273="","수량 입력",IF(FALSE,"",IF(INDEX('상품표'!$B$4:$B$18,MATCH(C273,'상품표'!$A$4:$A$18,0))="의류",IF(D273="","사이즈 선택",IF(AND(LEFT(C273,4)="후드집업",OR(D273="XXS",D273="XS")),"후드는 S부터",IF(COUNTA(E273:G273)&gt;0,"세트 옵션은 세트만","OK"))),IF(INDEX('상품표'!$B$4:$B$18,MATCH(C273,'상품표'!$A$4:$A$18,0))="세트",IF(COUNTA(E273:G273)&lt;3,"세트 옵션 선택",IF(D273&lt;&gt;"","사이즈 불필요","OK")),IF(COUNTA(E273:G273)&gt;0,"세트 옵션은 세트만",IF(D273&lt;&gt;"","사이즈 불필요","OK"))))))))</f>
        <v/>
      </c>
      <c r="M273" s="44"/>
      <c r="N273" s="45"/>
    </row>
    <row r="274" ht="15.75" customHeight="1">
      <c r="A274" s="32">
        <v>269.0</v>
      </c>
      <c r="B274" s="33"/>
      <c r="C274" s="33"/>
      <c r="D274" s="33"/>
      <c r="E274" s="33"/>
      <c r="F274" s="33"/>
      <c r="G274" s="33"/>
      <c r="H274" s="33"/>
      <c r="I274" s="20" t="str">
        <f t="array" ref="I274">IF(C274="","",IFERROR(INDEX('상품표'!$C$4:$C$18,MATCH(C274,'상품표'!$A$4:$A$18,0)),""))</f>
        <v/>
      </c>
      <c r="J274" s="20" t="str">
        <f>IF(I274="","",ROUND(I274*(1-'상품표'!$G$4),0))</f>
        <v/>
      </c>
      <c r="K274" s="20" t="str">
        <f t="shared" si="1"/>
        <v/>
      </c>
      <c r="L274" s="32" t="str">
        <f t="array" ref="L274">IF(C274="","",IF(ISNA(MATCH(C274,'상품표'!$A$4:$A$18,0)),"상품명 확인",IF(H274="","수량 입력",IF(FALSE,"",IF(INDEX('상품표'!$B$4:$B$18,MATCH(C274,'상품표'!$A$4:$A$18,0))="의류",IF(D274="","사이즈 선택",IF(AND(LEFT(C274,4)="후드집업",OR(D274="XXS",D274="XS")),"후드는 S부터",IF(COUNTA(E274:G274)&gt;0,"세트 옵션은 세트만","OK"))),IF(INDEX('상품표'!$B$4:$B$18,MATCH(C274,'상품표'!$A$4:$A$18,0))="세트",IF(COUNTA(E274:G274)&lt;3,"세트 옵션 선택",IF(D274&lt;&gt;"","사이즈 불필요","OK")),IF(COUNTA(E274:G274)&gt;0,"세트 옵션은 세트만",IF(D274&lt;&gt;"","사이즈 불필요","OK"))))))))</f>
        <v/>
      </c>
      <c r="M274" s="44"/>
      <c r="N274" s="45"/>
    </row>
    <row r="275" ht="15.75" customHeight="1">
      <c r="A275" s="32">
        <v>270.0</v>
      </c>
      <c r="B275" s="33"/>
      <c r="C275" s="33"/>
      <c r="D275" s="33"/>
      <c r="E275" s="33"/>
      <c r="F275" s="33"/>
      <c r="G275" s="33"/>
      <c r="H275" s="33"/>
      <c r="I275" s="20" t="str">
        <f t="array" ref="I275">IF(C275="","",IFERROR(INDEX('상품표'!$C$4:$C$18,MATCH(C275,'상품표'!$A$4:$A$18,0)),""))</f>
        <v/>
      </c>
      <c r="J275" s="20" t="str">
        <f>IF(I275="","",ROUND(I275*(1-'상품표'!$G$4),0))</f>
        <v/>
      </c>
      <c r="K275" s="20" t="str">
        <f t="shared" si="1"/>
        <v/>
      </c>
      <c r="L275" s="32" t="str">
        <f t="array" ref="L275">IF(C275="","",IF(ISNA(MATCH(C275,'상품표'!$A$4:$A$18,0)),"상품명 확인",IF(H275="","수량 입력",IF(FALSE,"",IF(INDEX('상품표'!$B$4:$B$18,MATCH(C275,'상품표'!$A$4:$A$18,0))="의류",IF(D275="","사이즈 선택",IF(AND(LEFT(C275,4)="후드집업",OR(D275="XXS",D275="XS")),"후드는 S부터",IF(COUNTA(E275:G275)&gt;0,"세트 옵션은 세트만","OK"))),IF(INDEX('상품표'!$B$4:$B$18,MATCH(C275,'상품표'!$A$4:$A$18,0))="세트",IF(COUNTA(E275:G275)&lt;3,"세트 옵션 선택",IF(D275&lt;&gt;"","사이즈 불필요","OK")),IF(COUNTA(E275:G275)&gt;0,"세트 옵션은 세트만",IF(D275&lt;&gt;"","사이즈 불필요","OK"))))))))</f>
        <v/>
      </c>
      <c r="M275" s="44"/>
      <c r="N275" s="45"/>
    </row>
    <row r="276" ht="15.75" customHeight="1">
      <c r="A276" s="32">
        <v>271.0</v>
      </c>
      <c r="B276" s="33"/>
      <c r="C276" s="33"/>
      <c r="D276" s="33"/>
      <c r="E276" s="33"/>
      <c r="F276" s="33"/>
      <c r="G276" s="33"/>
      <c r="H276" s="33"/>
      <c r="I276" s="20" t="str">
        <f t="array" ref="I276">IF(C276="","",IFERROR(INDEX('상품표'!$C$4:$C$18,MATCH(C276,'상품표'!$A$4:$A$18,0)),""))</f>
        <v/>
      </c>
      <c r="J276" s="20" t="str">
        <f>IF(I276="","",ROUND(I276*(1-'상품표'!$G$4),0))</f>
        <v/>
      </c>
      <c r="K276" s="20" t="str">
        <f t="shared" si="1"/>
        <v/>
      </c>
      <c r="L276" s="32" t="str">
        <f t="array" ref="L276">IF(C276="","",IF(ISNA(MATCH(C276,'상품표'!$A$4:$A$18,0)),"상품명 확인",IF(H276="","수량 입력",IF(FALSE,"",IF(INDEX('상품표'!$B$4:$B$18,MATCH(C276,'상품표'!$A$4:$A$18,0))="의류",IF(D276="","사이즈 선택",IF(AND(LEFT(C276,4)="후드집업",OR(D276="XXS",D276="XS")),"후드는 S부터",IF(COUNTA(E276:G276)&gt;0,"세트 옵션은 세트만","OK"))),IF(INDEX('상품표'!$B$4:$B$18,MATCH(C276,'상품표'!$A$4:$A$18,0))="세트",IF(COUNTA(E276:G276)&lt;3,"세트 옵션 선택",IF(D276&lt;&gt;"","사이즈 불필요","OK")),IF(COUNTA(E276:G276)&gt;0,"세트 옵션은 세트만",IF(D276&lt;&gt;"","사이즈 불필요","OK"))))))))</f>
        <v/>
      </c>
      <c r="M276" s="44"/>
      <c r="N276" s="45"/>
    </row>
    <row r="277" ht="15.75" customHeight="1">
      <c r="A277" s="32">
        <v>272.0</v>
      </c>
      <c r="B277" s="33"/>
      <c r="C277" s="33"/>
      <c r="D277" s="33"/>
      <c r="E277" s="33"/>
      <c r="F277" s="33"/>
      <c r="G277" s="33"/>
      <c r="H277" s="33"/>
      <c r="I277" s="20" t="str">
        <f t="array" ref="I277">IF(C277="","",IFERROR(INDEX('상품표'!$C$4:$C$18,MATCH(C277,'상품표'!$A$4:$A$18,0)),""))</f>
        <v/>
      </c>
      <c r="J277" s="20" t="str">
        <f>IF(I277="","",ROUND(I277*(1-'상품표'!$G$4),0))</f>
        <v/>
      </c>
      <c r="K277" s="20" t="str">
        <f t="shared" si="1"/>
        <v/>
      </c>
      <c r="L277" s="32" t="str">
        <f t="array" ref="L277">IF(C277="","",IF(ISNA(MATCH(C277,'상품표'!$A$4:$A$18,0)),"상품명 확인",IF(H277="","수량 입력",IF(FALSE,"",IF(INDEX('상품표'!$B$4:$B$18,MATCH(C277,'상품표'!$A$4:$A$18,0))="의류",IF(D277="","사이즈 선택",IF(AND(LEFT(C277,4)="후드집업",OR(D277="XXS",D277="XS")),"후드는 S부터",IF(COUNTA(E277:G277)&gt;0,"세트 옵션은 세트만","OK"))),IF(INDEX('상품표'!$B$4:$B$18,MATCH(C277,'상품표'!$A$4:$A$18,0))="세트",IF(COUNTA(E277:G277)&lt;3,"세트 옵션 선택",IF(D277&lt;&gt;"","사이즈 불필요","OK")),IF(COUNTA(E277:G277)&gt;0,"세트 옵션은 세트만",IF(D277&lt;&gt;"","사이즈 불필요","OK"))))))))</f>
        <v/>
      </c>
      <c r="M277" s="44"/>
      <c r="N277" s="45"/>
    </row>
    <row r="278" ht="15.75" customHeight="1">
      <c r="A278" s="32">
        <v>273.0</v>
      </c>
      <c r="B278" s="33"/>
      <c r="C278" s="33"/>
      <c r="D278" s="33"/>
      <c r="E278" s="33"/>
      <c r="F278" s="33"/>
      <c r="G278" s="33"/>
      <c r="H278" s="33"/>
      <c r="I278" s="20" t="str">
        <f t="array" ref="I278">IF(C278="","",IFERROR(INDEX('상품표'!$C$4:$C$18,MATCH(C278,'상품표'!$A$4:$A$18,0)),""))</f>
        <v/>
      </c>
      <c r="J278" s="20" t="str">
        <f>IF(I278="","",ROUND(I278*(1-'상품표'!$G$4),0))</f>
        <v/>
      </c>
      <c r="K278" s="20" t="str">
        <f t="shared" si="1"/>
        <v/>
      </c>
      <c r="L278" s="32" t="str">
        <f t="array" ref="L278">IF(C278="","",IF(ISNA(MATCH(C278,'상품표'!$A$4:$A$18,0)),"상품명 확인",IF(H278="","수량 입력",IF(FALSE,"",IF(INDEX('상품표'!$B$4:$B$18,MATCH(C278,'상품표'!$A$4:$A$18,0))="의류",IF(D278="","사이즈 선택",IF(AND(LEFT(C278,4)="후드집업",OR(D278="XXS",D278="XS")),"후드는 S부터",IF(COUNTA(E278:G278)&gt;0,"세트 옵션은 세트만","OK"))),IF(INDEX('상품표'!$B$4:$B$18,MATCH(C278,'상품표'!$A$4:$A$18,0))="세트",IF(COUNTA(E278:G278)&lt;3,"세트 옵션 선택",IF(D278&lt;&gt;"","사이즈 불필요","OK")),IF(COUNTA(E278:G278)&gt;0,"세트 옵션은 세트만",IF(D278&lt;&gt;"","사이즈 불필요","OK"))))))))</f>
        <v/>
      </c>
      <c r="M278" s="44"/>
      <c r="N278" s="45"/>
    </row>
    <row r="279" ht="15.75" customHeight="1">
      <c r="A279" s="32">
        <v>274.0</v>
      </c>
      <c r="B279" s="33"/>
      <c r="C279" s="33"/>
      <c r="D279" s="33"/>
      <c r="E279" s="33"/>
      <c r="F279" s="33"/>
      <c r="G279" s="33"/>
      <c r="H279" s="33"/>
      <c r="I279" s="20" t="str">
        <f t="array" ref="I279">IF(C279="","",IFERROR(INDEX('상품표'!$C$4:$C$18,MATCH(C279,'상품표'!$A$4:$A$18,0)),""))</f>
        <v/>
      </c>
      <c r="J279" s="20" t="str">
        <f>IF(I279="","",ROUND(I279*(1-'상품표'!$G$4),0))</f>
        <v/>
      </c>
      <c r="K279" s="20" t="str">
        <f t="shared" si="1"/>
        <v/>
      </c>
      <c r="L279" s="32" t="str">
        <f t="array" ref="L279">IF(C279="","",IF(ISNA(MATCH(C279,'상품표'!$A$4:$A$18,0)),"상품명 확인",IF(H279="","수량 입력",IF(FALSE,"",IF(INDEX('상품표'!$B$4:$B$18,MATCH(C279,'상품표'!$A$4:$A$18,0))="의류",IF(D279="","사이즈 선택",IF(AND(LEFT(C279,4)="후드집업",OR(D279="XXS",D279="XS")),"후드는 S부터",IF(COUNTA(E279:G279)&gt;0,"세트 옵션은 세트만","OK"))),IF(INDEX('상품표'!$B$4:$B$18,MATCH(C279,'상품표'!$A$4:$A$18,0))="세트",IF(COUNTA(E279:G279)&lt;3,"세트 옵션 선택",IF(D279&lt;&gt;"","사이즈 불필요","OK")),IF(COUNTA(E279:G279)&gt;0,"세트 옵션은 세트만",IF(D279&lt;&gt;"","사이즈 불필요","OK"))))))))</f>
        <v/>
      </c>
      <c r="M279" s="44"/>
      <c r="N279" s="45"/>
    </row>
    <row r="280" ht="15.75" customHeight="1">
      <c r="A280" s="32">
        <v>275.0</v>
      </c>
      <c r="B280" s="33"/>
      <c r="C280" s="33"/>
      <c r="D280" s="33"/>
      <c r="E280" s="33"/>
      <c r="F280" s="33"/>
      <c r="G280" s="33"/>
      <c r="H280" s="33"/>
      <c r="I280" s="20" t="str">
        <f t="array" ref="I280">IF(C280="","",IFERROR(INDEX('상품표'!$C$4:$C$18,MATCH(C280,'상품표'!$A$4:$A$18,0)),""))</f>
        <v/>
      </c>
      <c r="J280" s="20" t="str">
        <f>IF(I280="","",ROUND(I280*(1-'상품표'!$G$4),0))</f>
        <v/>
      </c>
      <c r="K280" s="20" t="str">
        <f t="shared" si="1"/>
        <v/>
      </c>
      <c r="L280" s="32" t="str">
        <f t="array" ref="L280">IF(C280="","",IF(ISNA(MATCH(C280,'상품표'!$A$4:$A$18,0)),"상품명 확인",IF(H280="","수량 입력",IF(FALSE,"",IF(INDEX('상품표'!$B$4:$B$18,MATCH(C280,'상품표'!$A$4:$A$18,0))="의류",IF(D280="","사이즈 선택",IF(AND(LEFT(C280,4)="후드집업",OR(D280="XXS",D280="XS")),"후드는 S부터",IF(COUNTA(E280:G280)&gt;0,"세트 옵션은 세트만","OK"))),IF(INDEX('상품표'!$B$4:$B$18,MATCH(C280,'상품표'!$A$4:$A$18,0))="세트",IF(COUNTA(E280:G280)&lt;3,"세트 옵션 선택",IF(D280&lt;&gt;"","사이즈 불필요","OK")),IF(COUNTA(E280:G280)&gt;0,"세트 옵션은 세트만",IF(D280&lt;&gt;"","사이즈 불필요","OK"))))))))</f>
        <v/>
      </c>
      <c r="M280" s="44"/>
      <c r="N280" s="45"/>
    </row>
    <row r="281" ht="15.75" customHeight="1">
      <c r="A281" s="32">
        <v>276.0</v>
      </c>
      <c r="B281" s="33"/>
      <c r="C281" s="33"/>
      <c r="D281" s="33"/>
      <c r="E281" s="33"/>
      <c r="F281" s="33"/>
      <c r="G281" s="33"/>
      <c r="H281" s="33"/>
      <c r="I281" s="20" t="str">
        <f t="array" ref="I281">IF(C281="","",IFERROR(INDEX('상품표'!$C$4:$C$18,MATCH(C281,'상품표'!$A$4:$A$18,0)),""))</f>
        <v/>
      </c>
      <c r="J281" s="20" t="str">
        <f>IF(I281="","",ROUND(I281*(1-'상품표'!$G$4),0))</f>
        <v/>
      </c>
      <c r="K281" s="20" t="str">
        <f t="shared" si="1"/>
        <v/>
      </c>
      <c r="L281" s="32" t="str">
        <f t="array" ref="L281">IF(C281="","",IF(ISNA(MATCH(C281,'상품표'!$A$4:$A$18,0)),"상품명 확인",IF(H281="","수량 입력",IF(FALSE,"",IF(INDEX('상품표'!$B$4:$B$18,MATCH(C281,'상품표'!$A$4:$A$18,0))="의류",IF(D281="","사이즈 선택",IF(AND(LEFT(C281,4)="후드집업",OR(D281="XXS",D281="XS")),"후드는 S부터",IF(COUNTA(E281:G281)&gt;0,"세트 옵션은 세트만","OK"))),IF(INDEX('상품표'!$B$4:$B$18,MATCH(C281,'상품표'!$A$4:$A$18,0))="세트",IF(COUNTA(E281:G281)&lt;3,"세트 옵션 선택",IF(D281&lt;&gt;"","사이즈 불필요","OK")),IF(COUNTA(E281:G281)&gt;0,"세트 옵션은 세트만",IF(D281&lt;&gt;"","사이즈 불필요","OK"))))))))</f>
        <v/>
      </c>
      <c r="M281" s="44"/>
      <c r="N281" s="45"/>
    </row>
    <row r="282" ht="15.75" customHeight="1">
      <c r="A282" s="32">
        <v>277.0</v>
      </c>
      <c r="B282" s="33"/>
      <c r="C282" s="33"/>
      <c r="D282" s="33"/>
      <c r="E282" s="33"/>
      <c r="F282" s="33"/>
      <c r="G282" s="33"/>
      <c r="H282" s="33"/>
      <c r="I282" s="20" t="str">
        <f t="array" ref="I282">IF(C282="","",IFERROR(INDEX('상품표'!$C$4:$C$18,MATCH(C282,'상품표'!$A$4:$A$18,0)),""))</f>
        <v/>
      </c>
      <c r="J282" s="20" t="str">
        <f>IF(I282="","",ROUND(I282*(1-'상품표'!$G$4),0))</f>
        <v/>
      </c>
      <c r="K282" s="20" t="str">
        <f t="shared" si="1"/>
        <v/>
      </c>
      <c r="L282" s="32" t="str">
        <f t="array" ref="L282">IF(C282="","",IF(ISNA(MATCH(C282,'상품표'!$A$4:$A$18,0)),"상품명 확인",IF(H282="","수량 입력",IF(FALSE,"",IF(INDEX('상품표'!$B$4:$B$18,MATCH(C282,'상품표'!$A$4:$A$18,0))="의류",IF(D282="","사이즈 선택",IF(AND(LEFT(C282,4)="후드집업",OR(D282="XXS",D282="XS")),"후드는 S부터",IF(COUNTA(E282:G282)&gt;0,"세트 옵션은 세트만","OK"))),IF(INDEX('상품표'!$B$4:$B$18,MATCH(C282,'상품표'!$A$4:$A$18,0))="세트",IF(COUNTA(E282:G282)&lt;3,"세트 옵션 선택",IF(D282&lt;&gt;"","사이즈 불필요","OK")),IF(COUNTA(E282:G282)&gt;0,"세트 옵션은 세트만",IF(D282&lt;&gt;"","사이즈 불필요","OK"))))))))</f>
        <v/>
      </c>
      <c r="M282" s="44"/>
      <c r="N282" s="45"/>
    </row>
    <row r="283" ht="15.75" customHeight="1">
      <c r="A283" s="32">
        <v>278.0</v>
      </c>
      <c r="B283" s="33"/>
      <c r="C283" s="33"/>
      <c r="D283" s="33"/>
      <c r="E283" s="33"/>
      <c r="F283" s="33"/>
      <c r="G283" s="33"/>
      <c r="H283" s="33"/>
      <c r="I283" s="20" t="str">
        <f t="array" ref="I283">IF(C283="","",IFERROR(INDEX('상품표'!$C$4:$C$18,MATCH(C283,'상품표'!$A$4:$A$18,0)),""))</f>
        <v/>
      </c>
      <c r="J283" s="20" t="str">
        <f>IF(I283="","",ROUND(I283*(1-'상품표'!$G$4),0))</f>
        <v/>
      </c>
      <c r="K283" s="20" t="str">
        <f t="shared" si="1"/>
        <v/>
      </c>
      <c r="L283" s="32" t="str">
        <f t="array" ref="L283">IF(C283="","",IF(ISNA(MATCH(C283,'상품표'!$A$4:$A$18,0)),"상품명 확인",IF(H283="","수량 입력",IF(FALSE,"",IF(INDEX('상품표'!$B$4:$B$18,MATCH(C283,'상품표'!$A$4:$A$18,0))="의류",IF(D283="","사이즈 선택",IF(AND(LEFT(C283,4)="후드집업",OR(D283="XXS",D283="XS")),"후드는 S부터",IF(COUNTA(E283:G283)&gt;0,"세트 옵션은 세트만","OK"))),IF(INDEX('상품표'!$B$4:$B$18,MATCH(C283,'상품표'!$A$4:$A$18,0))="세트",IF(COUNTA(E283:G283)&lt;3,"세트 옵션 선택",IF(D283&lt;&gt;"","사이즈 불필요","OK")),IF(COUNTA(E283:G283)&gt;0,"세트 옵션은 세트만",IF(D283&lt;&gt;"","사이즈 불필요","OK"))))))))</f>
        <v/>
      </c>
      <c r="M283" s="44"/>
      <c r="N283" s="45"/>
    </row>
    <row r="284" ht="15.75" customHeight="1">
      <c r="A284" s="32">
        <v>279.0</v>
      </c>
      <c r="B284" s="33"/>
      <c r="C284" s="33"/>
      <c r="D284" s="33"/>
      <c r="E284" s="33"/>
      <c r="F284" s="33"/>
      <c r="G284" s="33"/>
      <c r="H284" s="33"/>
      <c r="I284" s="20" t="str">
        <f t="array" ref="I284">IF(C284="","",IFERROR(INDEX('상품표'!$C$4:$C$18,MATCH(C284,'상품표'!$A$4:$A$18,0)),""))</f>
        <v/>
      </c>
      <c r="J284" s="20" t="str">
        <f>IF(I284="","",ROUND(I284*(1-'상품표'!$G$4),0))</f>
        <v/>
      </c>
      <c r="K284" s="20" t="str">
        <f t="shared" si="1"/>
        <v/>
      </c>
      <c r="L284" s="32" t="str">
        <f t="array" ref="L284">IF(C284="","",IF(ISNA(MATCH(C284,'상품표'!$A$4:$A$18,0)),"상품명 확인",IF(H284="","수량 입력",IF(FALSE,"",IF(INDEX('상품표'!$B$4:$B$18,MATCH(C284,'상품표'!$A$4:$A$18,0))="의류",IF(D284="","사이즈 선택",IF(AND(LEFT(C284,4)="후드집업",OR(D284="XXS",D284="XS")),"후드는 S부터",IF(COUNTA(E284:G284)&gt;0,"세트 옵션은 세트만","OK"))),IF(INDEX('상품표'!$B$4:$B$18,MATCH(C284,'상품표'!$A$4:$A$18,0))="세트",IF(COUNTA(E284:G284)&lt;3,"세트 옵션 선택",IF(D284&lt;&gt;"","사이즈 불필요","OK")),IF(COUNTA(E284:G284)&gt;0,"세트 옵션은 세트만",IF(D284&lt;&gt;"","사이즈 불필요","OK"))))))))</f>
        <v/>
      </c>
      <c r="M284" s="44"/>
      <c r="N284" s="45"/>
    </row>
    <row r="285" ht="15.75" customHeight="1">
      <c r="A285" s="32">
        <v>280.0</v>
      </c>
      <c r="B285" s="33"/>
      <c r="C285" s="33"/>
      <c r="D285" s="33"/>
      <c r="E285" s="33"/>
      <c r="F285" s="33"/>
      <c r="G285" s="33"/>
      <c r="H285" s="33"/>
      <c r="I285" s="20" t="str">
        <f t="array" ref="I285">IF(C285="","",IFERROR(INDEX('상품표'!$C$4:$C$18,MATCH(C285,'상품표'!$A$4:$A$18,0)),""))</f>
        <v/>
      </c>
      <c r="J285" s="20" t="str">
        <f>IF(I285="","",ROUND(I285*(1-'상품표'!$G$4),0))</f>
        <v/>
      </c>
      <c r="K285" s="20" t="str">
        <f t="shared" si="1"/>
        <v/>
      </c>
      <c r="L285" s="32" t="str">
        <f t="array" ref="L285">IF(C285="","",IF(ISNA(MATCH(C285,'상품표'!$A$4:$A$18,0)),"상품명 확인",IF(H285="","수량 입력",IF(FALSE,"",IF(INDEX('상품표'!$B$4:$B$18,MATCH(C285,'상품표'!$A$4:$A$18,0))="의류",IF(D285="","사이즈 선택",IF(AND(LEFT(C285,4)="후드집업",OR(D285="XXS",D285="XS")),"후드는 S부터",IF(COUNTA(E285:G285)&gt;0,"세트 옵션은 세트만","OK"))),IF(INDEX('상품표'!$B$4:$B$18,MATCH(C285,'상품표'!$A$4:$A$18,0))="세트",IF(COUNTA(E285:G285)&lt;3,"세트 옵션 선택",IF(D285&lt;&gt;"","사이즈 불필요","OK")),IF(COUNTA(E285:G285)&gt;0,"세트 옵션은 세트만",IF(D285&lt;&gt;"","사이즈 불필요","OK"))))))))</f>
        <v/>
      </c>
      <c r="M285" s="44"/>
      <c r="N285" s="45"/>
    </row>
    <row r="286" ht="15.75" customHeight="1">
      <c r="A286" s="32">
        <v>281.0</v>
      </c>
      <c r="B286" s="33"/>
      <c r="C286" s="33"/>
      <c r="D286" s="33"/>
      <c r="E286" s="33"/>
      <c r="F286" s="33"/>
      <c r="G286" s="33"/>
      <c r="H286" s="33"/>
      <c r="I286" s="20" t="str">
        <f t="array" ref="I286">IF(C286="","",IFERROR(INDEX('상품표'!$C$4:$C$18,MATCH(C286,'상품표'!$A$4:$A$18,0)),""))</f>
        <v/>
      </c>
      <c r="J286" s="20" t="str">
        <f>IF(I286="","",ROUND(I286*(1-'상품표'!$G$4),0))</f>
        <v/>
      </c>
      <c r="K286" s="20" t="str">
        <f t="shared" si="1"/>
        <v/>
      </c>
      <c r="L286" s="32" t="str">
        <f t="array" ref="L286">IF(C286="","",IF(ISNA(MATCH(C286,'상품표'!$A$4:$A$18,0)),"상품명 확인",IF(H286="","수량 입력",IF(FALSE,"",IF(INDEX('상품표'!$B$4:$B$18,MATCH(C286,'상품표'!$A$4:$A$18,0))="의류",IF(D286="","사이즈 선택",IF(AND(LEFT(C286,4)="후드집업",OR(D286="XXS",D286="XS")),"후드는 S부터",IF(COUNTA(E286:G286)&gt;0,"세트 옵션은 세트만","OK"))),IF(INDEX('상품표'!$B$4:$B$18,MATCH(C286,'상품표'!$A$4:$A$18,0))="세트",IF(COUNTA(E286:G286)&lt;3,"세트 옵션 선택",IF(D286&lt;&gt;"","사이즈 불필요","OK")),IF(COUNTA(E286:G286)&gt;0,"세트 옵션은 세트만",IF(D286&lt;&gt;"","사이즈 불필요","OK"))))))))</f>
        <v/>
      </c>
      <c r="M286" s="44"/>
      <c r="N286" s="45"/>
    </row>
    <row r="287" ht="15.75" customHeight="1">
      <c r="A287" s="32">
        <v>282.0</v>
      </c>
      <c r="B287" s="33"/>
      <c r="C287" s="33"/>
      <c r="D287" s="33"/>
      <c r="E287" s="33"/>
      <c r="F287" s="33"/>
      <c r="G287" s="33"/>
      <c r="H287" s="33"/>
      <c r="I287" s="20" t="str">
        <f t="array" ref="I287">IF(C287="","",IFERROR(INDEX('상품표'!$C$4:$C$18,MATCH(C287,'상품표'!$A$4:$A$18,0)),""))</f>
        <v/>
      </c>
      <c r="J287" s="20" t="str">
        <f>IF(I287="","",ROUND(I287*(1-'상품표'!$G$4),0))</f>
        <v/>
      </c>
      <c r="K287" s="20" t="str">
        <f t="shared" si="1"/>
        <v/>
      </c>
      <c r="L287" s="32" t="str">
        <f t="array" ref="L287">IF(C287="","",IF(ISNA(MATCH(C287,'상품표'!$A$4:$A$18,0)),"상품명 확인",IF(H287="","수량 입력",IF(FALSE,"",IF(INDEX('상품표'!$B$4:$B$18,MATCH(C287,'상품표'!$A$4:$A$18,0))="의류",IF(D287="","사이즈 선택",IF(AND(LEFT(C287,4)="후드집업",OR(D287="XXS",D287="XS")),"후드는 S부터",IF(COUNTA(E287:G287)&gt;0,"세트 옵션은 세트만","OK"))),IF(INDEX('상품표'!$B$4:$B$18,MATCH(C287,'상품표'!$A$4:$A$18,0))="세트",IF(COUNTA(E287:G287)&lt;3,"세트 옵션 선택",IF(D287&lt;&gt;"","사이즈 불필요","OK")),IF(COUNTA(E287:G287)&gt;0,"세트 옵션은 세트만",IF(D287&lt;&gt;"","사이즈 불필요","OK"))))))))</f>
        <v/>
      </c>
      <c r="M287" s="44"/>
      <c r="N287" s="45"/>
    </row>
    <row r="288" ht="15.75" customHeight="1">
      <c r="A288" s="32">
        <v>283.0</v>
      </c>
      <c r="B288" s="33"/>
      <c r="C288" s="33"/>
      <c r="D288" s="33"/>
      <c r="E288" s="33"/>
      <c r="F288" s="33"/>
      <c r="G288" s="33"/>
      <c r="H288" s="33"/>
      <c r="I288" s="20" t="str">
        <f t="array" ref="I288">IF(C288="","",IFERROR(INDEX('상품표'!$C$4:$C$18,MATCH(C288,'상품표'!$A$4:$A$18,0)),""))</f>
        <v/>
      </c>
      <c r="J288" s="20" t="str">
        <f>IF(I288="","",ROUND(I288*(1-'상품표'!$G$4),0))</f>
        <v/>
      </c>
      <c r="K288" s="20" t="str">
        <f t="shared" si="1"/>
        <v/>
      </c>
      <c r="L288" s="32" t="str">
        <f t="array" ref="L288">IF(C288="","",IF(ISNA(MATCH(C288,'상품표'!$A$4:$A$18,0)),"상품명 확인",IF(H288="","수량 입력",IF(FALSE,"",IF(INDEX('상품표'!$B$4:$B$18,MATCH(C288,'상품표'!$A$4:$A$18,0))="의류",IF(D288="","사이즈 선택",IF(AND(LEFT(C288,4)="후드집업",OR(D288="XXS",D288="XS")),"후드는 S부터",IF(COUNTA(E288:G288)&gt;0,"세트 옵션은 세트만","OK"))),IF(INDEX('상품표'!$B$4:$B$18,MATCH(C288,'상품표'!$A$4:$A$18,0))="세트",IF(COUNTA(E288:G288)&lt;3,"세트 옵션 선택",IF(D288&lt;&gt;"","사이즈 불필요","OK")),IF(COUNTA(E288:G288)&gt;0,"세트 옵션은 세트만",IF(D288&lt;&gt;"","사이즈 불필요","OK"))))))))</f>
        <v/>
      </c>
      <c r="M288" s="44"/>
      <c r="N288" s="45"/>
    </row>
    <row r="289" ht="15.75" customHeight="1">
      <c r="A289" s="32">
        <v>284.0</v>
      </c>
      <c r="B289" s="33"/>
      <c r="C289" s="33"/>
      <c r="D289" s="33"/>
      <c r="E289" s="33"/>
      <c r="F289" s="33"/>
      <c r="G289" s="33"/>
      <c r="H289" s="33"/>
      <c r="I289" s="20" t="str">
        <f t="array" ref="I289">IF(C289="","",IFERROR(INDEX('상품표'!$C$4:$C$18,MATCH(C289,'상품표'!$A$4:$A$18,0)),""))</f>
        <v/>
      </c>
      <c r="J289" s="20" t="str">
        <f>IF(I289="","",ROUND(I289*(1-'상품표'!$G$4),0))</f>
        <v/>
      </c>
      <c r="K289" s="20" t="str">
        <f t="shared" si="1"/>
        <v/>
      </c>
      <c r="L289" s="32" t="str">
        <f t="array" ref="L289">IF(C289="","",IF(ISNA(MATCH(C289,'상품표'!$A$4:$A$18,0)),"상품명 확인",IF(H289="","수량 입력",IF(FALSE,"",IF(INDEX('상품표'!$B$4:$B$18,MATCH(C289,'상품표'!$A$4:$A$18,0))="의류",IF(D289="","사이즈 선택",IF(AND(LEFT(C289,4)="후드집업",OR(D289="XXS",D289="XS")),"후드는 S부터",IF(COUNTA(E289:G289)&gt;0,"세트 옵션은 세트만","OK"))),IF(INDEX('상품표'!$B$4:$B$18,MATCH(C289,'상품표'!$A$4:$A$18,0))="세트",IF(COUNTA(E289:G289)&lt;3,"세트 옵션 선택",IF(D289&lt;&gt;"","사이즈 불필요","OK")),IF(COUNTA(E289:G289)&gt;0,"세트 옵션은 세트만",IF(D289&lt;&gt;"","사이즈 불필요","OK"))))))))</f>
        <v/>
      </c>
      <c r="M289" s="44"/>
      <c r="N289" s="45"/>
    </row>
    <row r="290" ht="15.75" customHeight="1">
      <c r="A290" s="32">
        <v>285.0</v>
      </c>
      <c r="B290" s="33"/>
      <c r="C290" s="33"/>
      <c r="D290" s="33"/>
      <c r="E290" s="33"/>
      <c r="F290" s="33"/>
      <c r="G290" s="33"/>
      <c r="H290" s="33"/>
      <c r="I290" s="20" t="str">
        <f t="array" ref="I290">IF(C290="","",IFERROR(INDEX('상품표'!$C$4:$C$18,MATCH(C290,'상품표'!$A$4:$A$18,0)),""))</f>
        <v/>
      </c>
      <c r="J290" s="20" t="str">
        <f>IF(I290="","",ROUND(I290*(1-'상품표'!$G$4),0))</f>
        <v/>
      </c>
      <c r="K290" s="20" t="str">
        <f t="shared" si="1"/>
        <v/>
      </c>
      <c r="L290" s="32" t="str">
        <f t="array" ref="L290">IF(C290="","",IF(ISNA(MATCH(C290,'상품표'!$A$4:$A$18,0)),"상품명 확인",IF(H290="","수량 입력",IF(FALSE,"",IF(INDEX('상품표'!$B$4:$B$18,MATCH(C290,'상품표'!$A$4:$A$18,0))="의류",IF(D290="","사이즈 선택",IF(AND(LEFT(C290,4)="후드집업",OR(D290="XXS",D290="XS")),"후드는 S부터",IF(COUNTA(E290:G290)&gt;0,"세트 옵션은 세트만","OK"))),IF(INDEX('상품표'!$B$4:$B$18,MATCH(C290,'상품표'!$A$4:$A$18,0))="세트",IF(COUNTA(E290:G290)&lt;3,"세트 옵션 선택",IF(D290&lt;&gt;"","사이즈 불필요","OK")),IF(COUNTA(E290:G290)&gt;0,"세트 옵션은 세트만",IF(D290&lt;&gt;"","사이즈 불필요","OK"))))))))</f>
        <v/>
      </c>
      <c r="M290" s="44"/>
      <c r="N290" s="45"/>
    </row>
    <row r="291" ht="15.75" customHeight="1">
      <c r="A291" s="32">
        <v>286.0</v>
      </c>
      <c r="B291" s="33"/>
      <c r="C291" s="33"/>
      <c r="D291" s="33"/>
      <c r="E291" s="33"/>
      <c r="F291" s="33"/>
      <c r="G291" s="33"/>
      <c r="H291" s="33"/>
      <c r="I291" s="20" t="str">
        <f t="array" ref="I291">IF(C291="","",IFERROR(INDEX('상품표'!$C$4:$C$18,MATCH(C291,'상품표'!$A$4:$A$18,0)),""))</f>
        <v/>
      </c>
      <c r="J291" s="20" t="str">
        <f>IF(I291="","",ROUND(I291*(1-'상품표'!$G$4),0))</f>
        <v/>
      </c>
      <c r="K291" s="20" t="str">
        <f t="shared" si="1"/>
        <v/>
      </c>
      <c r="L291" s="32" t="str">
        <f t="array" ref="L291">IF(C291="","",IF(ISNA(MATCH(C291,'상품표'!$A$4:$A$18,0)),"상품명 확인",IF(H291="","수량 입력",IF(FALSE,"",IF(INDEX('상품표'!$B$4:$B$18,MATCH(C291,'상품표'!$A$4:$A$18,0))="의류",IF(D291="","사이즈 선택",IF(AND(LEFT(C291,4)="후드집업",OR(D291="XXS",D291="XS")),"후드는 S부터",IF(COUNTA(E291:G291)&gt;0,"세트 옵션은 세트만","OK"))),IF(INDEX('상품표'!$B$4:$B$18,MATCH(C291,'상품표'!$A$4:$A$18,0))="세트",IF(COUNTA(E291:G291)&lt;3,"세트 옵션 선택",IF(D291&lt;&gt;"","사이즈 불필요","OK")),IF(COUNTA(E291:G291)&gt;0,"세트 옵션은 세트만",IF(D291&lt;&gt;"","사이즈 불필요","OK"))))))))</f>
        <v/>
      </c>
      <c r="M291" s="44"/>
      <c r="N291" s="45"/>
    </row>
    <row r="292" ht="15.75" customHeight="1">
      <c r="A292" s="32">
        <v>287.0</v>
      </c>
      <c r="B292" s="33"/>
      <c r="C292" s="33"/>
      <c r="D292" s="33"/>
      <c r="E292" s="33"/>
      <c r="F292" s="33"/>
      <c r="G292" s="33"/>
      <c r="H292" s="33"/>
      <c r="I292" s="20" t="str">
        <f t="array" ref="I292">IF(C292="","",IFERROR(INDEX('상품표'!$C$4:$C$18,MATCH(C292,'상품표'!$A$4:$A$18,0)),""))</f>
        <v/>
      </c>
      <c r="J292" s="20" t="str">
        <f>IF(I292="","",ROUND(I292*(1-'상품표'!$G$4),0))</f>
        <v/>
      </c>
      <c r="K292" s="20" t="str">
        <f t="shared" si="1"/>
        <v/>
      </c>
      <c r="L292" s="32" t="str">
        <f t="array" ref="L292">IF(C292="","",IF(ISNA(MATCH(C292,'상품표'!$A$4:$A$18,0)),"상품명 확인",IF(H292="","수량 입력",IF(FALSE,"",IF(INDEX('상품표'!$B$4:$B$18,MATCH(C292,'상품표'!$A$4:$A$18,0))="의류",IF(D292="","사이즈 선택",IF(AND(LEFT(C292,4)="후드집업",OR(D292="XXS",D292="XS")),"후드는 S부터",IF(COUNTA(E292:G292)&gt;0,"세트 옵션은 세트만","OK"))),IF(INDEX('상품표'!$B$4:$B$18,MATCH(C292,'상품표'!$A$4:$A$18,0))="세트",IF(COUNTA(E292:G292)&lt;3,"세트 옵션 선택",IF(D292&lt;&gt;"","사이즈 불필요","OK")),IF(COUNTA(E292:G292)&gt;0,"세트 옵션은 세트만",IF(D292&lt;&gt;"","사이즈 불필요","OK"))))))))</f>
        <v/>
      </c>
      <c r="M292" s="44"/>
      <c r="N292" s="45"/>
    </row>
    <row r="293" ht="15.75" customHeight="1">
      <c r="A293" s="32">
        <v>288.0</v>
      </c>
      <c r="B293" s="33"/>
      <c r="C293" s="33"/>
      <c r="D293" s="33"/>
      <c r="E293" s="33"/>
      <c r="F293" s="33"/>
      <c r="G293" s="33"/>
      <c r="H293" s="33"/>
      <c r="I293" s="20" t="str">
        <f t="array" ref="I293">IF(C293="","",IFERROR(INDEX('상품표'!$C$4:$C$18,MATCH(C293,'상품표'!$A$4:$A$18,0)),""))</f>
        <v/>
      </c>
      <c r="J293" s="20" t="str">
        <f>IF(I293="","",ROUND(I293*(1-'상품표'!$G$4),0))</f>
        <v/>
      </c>
      <c r="K293" s="20" t="str">
        <f t="shared" si="1"/>
        <v/>
      </c>
      <c r="L293" s="32" t="str">
        <f t="array" ref="L293">IF(C293="","",IF(ISNA(MATCH(C293,'상품표'!$A$4:$A$18,0)),"상품명 확인",IF(H293="","수량 입력",IF(FALSE,"",IF(INDEX('상품표'!$B$4:$B$18,MATCH(C293,'상품표'!$A$4:$A$18,0))="의류",IF(D293="","사이즈 선택",IF(AND(LEFT(C293,4)="후드집업",OR(D293="XXS",D293="XS")),"후드는 S부터",IF(COUNTA(E293:G293)&gt;0,"세트 옵션은 세트만","OK"))),IF(INDEX('상품표'!$B$4:$B$18,MATCH(C293,'상품표'!$A$4:$A$18,0))="세트",IF(COUNTA(E293:G293)&lt;3,"세트 옵션 선택",IF(D293&lt;&gt;"","사이즈 불필요","OK")),IF(COUNTA(E293:G293)&gt;0,"세트 옵션은 세트만",IF(D293&lt;&gt;"","사이즈 불필요","OK"))))))))</f>
        <v/>
      </c>
      <c r="M293" s="44"/>
      <c r="N293" s="45"/>
    </row>
    <row r="294" ht="15.75" customHeight="1">
      <c r="A294" s="32">
        <v>289.0</v>
      </c>
      <c r="B294" s="33"/>
      <c r="C294" s="33"/>
      <c r="D294" s="33"/>
      <c r="E294" s="33"/>
      <c r="F294" s="33"/>
      <c r="G294" s="33"/>
      <c r="H294" s="33"/>
      <c r="I294" s="20" t="str">
        <f t="array" ref="I294">IF(C294="","",IFERROR(INDEX('상품표'!$C$4:$C$18,MATCH(C294,'상품표'!$A$4:$A$18,0)),""))</f>
        <v/>
      </c>
      <c r="J294" s="20" t="str">
        <f>IF(I294="","",ROUND(I294*(1-'상품표'!$G$4),0))</f>
        <v/>
      </c>
      <c r="K294" s="20" t="str">
        <f t="shared" si="1"/>
        <v/>
      </c>
      <c r="L294" s="32" t="str">
        <f t="array" ref="L294">IF(C294="","",IF(ISNA(MATCH(C294,'상품표'!$A$4:$A$18,0)),"상품명 확인",IF(H294="","수량 입력",IF(FALSE,"",IF(INDEX('상품표'!$B$4:$B$18,MATCH(C294,'상품표'!$A$4:$A$18,0))="의류",IF(D294="","사이즈 선택",IF(AND(LEFT(C294,4)="후드집업",OR(D294="XXS",D294="XS")),"후드는 S부터",IF(COUNTA(E294:G294)&gt;0,"세트 옵션은 세트만","OK"))),IF(INDEX('상품표'!$B$4:$B$18,MATCH(C294,'상품표'!$A$4:$A$18,0))="세트",IF(COUNTA(E294:G294)&lt;3,"세트 옵션 선택",IF(D294&lt;&gt;"","사이즈 불필요","OK")),IF(COUNTA(E294:G294)&gt;0,"세트 옵션은 세트만",IF(D294&lt;&gt;"","사이즈 불필요","OK"))))))))</f>
        <v/>
      </c>
      <c r="M294" s="44"/>
      <c r="N294" s="45"/>
    </row>
    <row r="295" ht="15.75" customHeight="1">
      <c r="A295" s="32">
        <v>290.0</v>
      </c>
      <c r="B295" s="33"/>
      <c r="C295" s="33"/>
      <c r="D295" s="33"/>
      <c r="E295" s="33"/>
      <c r="F295" s="33"/>
      <c r="G295" s="33"/>
      <c r="H295" s="33"/>
      <c r="I295" s="20" t="str">
        <f t="array" ref="I295">IF(C295="","",IFERROR(INDEX('상품표'!$C$4:$C$18,MATCH(C295,'상품표'!$A$4:$A$18,0)),""))</f>
        <v/>
      </c>
      <c r="J295" s="20" t="str">
        <f>IF(I295="","",ROUND(I295*(1-'상품표'!$G$4),0))</f>
        <v/>
      </c>
      <c r="K295" s="20" t="str">
        <f t="shared" si="1"/>
        <v/>
      </c>
      <c r="L295" s="32" t="str">
        <f t="array" ref="L295">IF(C295="","",IF(ISNA(MATCH(C295,'상품표'!$A$4:$A$18,0)),"상품명 확인",IF(H295="","수량 입력",IF(FALSE,"",IF(INDEX('상품표'!$B$4:$B$18,MATCH(C295,'상품표'!$A$4:$A$18,0))="의류",IF(D295="","사이즈 선택",IF(AND(LEFT(C295,4)="후드집업",OR(D295="XXS",D295="XS")),"후드는 S부터",IF(COUNTA(E295:G295)&gt;0,"세트 옵션은 세트만","OK"))),IF(INDEX('상품표'!$B$4:$B$18,MATCH(C295,'상품표'!$A$4:$A$18,0))="세트",IF(COUNTA(E295:G295)&lt;3,"세트 옵션 선택",IF(D295&lt;&gt;"","사이즈 불필요","OK")),IF(COUNTA(E295:G295)&gt;0,"세트 옵션은 세트만",IF(D295&lt;&gt;"","사이즈 불필요","OK"))))))))</f>
        <v/>
      </c>
      <c r="M295" s="44"/>
      <c r="N295" s="45"/>
    </row>
    <row r="296" ht="15.75" customHeight="1">
      <c r="A296" s="32">
        <v>291.0</v>
      </c>
      <c r="B296" s="33"/>
      <c r="C296" s="33"/>
      <c r="D296" s="33"/>
      <c r="E296" s="33"/>
      <c r="F296" s="33"/>
      <c r="G296" s="33"/>
      <c r="H296" s="33"/>
      <c r="I296" s="20" t="str">
        <f t="array" ref="I296">IF(C296="","",IFERROR(INDEX('상품표'!$C$4:$C$18,MATCH(C296,'상품표'!$A$4:$A$18,0)),""))</f>
        <v/>
      </c>
      <c r="J296" s="20" t="str">
        <f>IF(I296="","",ROUND(I296*(1-'상품표'!$G$4),0))</f>
        <v/>
      </c>
      <c r="K296" s="20" t="str">
        <f t="shared" si="1"/>
        <v/>
      </c>
      <c r="L296" s="32" t="str">
        <f t="array" ref="L296">IF(C296="","",IF(ISNA(MATCH(C296,'상품표'!$A$4:$A$18,0)),"상품명 확인",IF(H296="","수량 입력",IF(FALSE,"",IF(INDEX('상품표'!$B$4:$B$18,MATCH(C296,'상품표'!$A$4:$A$18,0))="의류",IF(D296="","사이즈 선택",IF(AND(LEFT(C296,4)="후드집업",OR(D296="XXS",D296="XS")),"후드는 S부터",IF(COUNTA(E296:G296)&gt;0,"세트 옵션은 세트만","OK"))),IF(INDEX('상품표'!$B$4:$B$18,MATCH(C296,'상품표'!$A$4:$A$18,0))="세트",IF(COUNTA(E296:G296)&lt;3,"세트 옵션 선택",IF(D296&lt;&gt;"","사이즈 불필요","OK")),IF(COUNTA(E296:G296)&gt;0,"세트 옵션은 세트만",IF(D296&lt;&gt;"","사이즈 불필요","OK"))))))))</f>
        <v/>
      </c>
      <c r="M296" s="44"/>
      <c r="N296" s="45"/>
    </row>
    <row r="297" ht="15.75" customHeight="1">
      <c r="A297" s="32">
        <v>292.0</v>
      </c>
      <c r="B297" s="33"/>
      <c r="C297" s="33"/>
      <c r="D297" s="33"/>
      <c r="E297" s="33"/>
      <c r="F297" s="33"/>
      <c r="G297" s="33"/>
      <c r="H297" s="33"/>
      <c r="I297" s="20" t="str">
        <f t="array" ref="I297">IF(C297="","",IFERROR(INDEX('상품표'!$C$4:$C$18,MATCH(C297,'상품표'!$A$4:$A$18,0)),""))</f>
        <v/>
      </c>
      <c r="J297" s="20" t="str">
        <f>IF(I297="","",ROUND(I297*(1-'상품표'!$G$4),0))</f>
        <v/>
      </c>
      <c r="K297" s="20" t="str">
        <f t="shared" si="1"/>
        <v/>
      </c>
      <c r="L297" s="32" t="str">
        <f t="array" ref="L297">IF(C297="","",IF(ISNA(MATCH(C297,'상품표'!$A$4:$A$18,0)),"상품명 확인",IF(H297="","수량 입력",IF(FALSE,"",IF(INDEX('상품표'!$B$4:$B$18,MATCH(C297,'상품표'!$A$4:$A$18,0))="의류",IF(D297="","사이즈 선택",IF(AND(LEFT(C297,4)="후드집업",OR(D297="XXS",D297="XS")),"후드는 S부터",IF(COUNTA(E297:G297)&gt;0,"세트 옵션은 세트만","OK"))),IF(INDEX('상품표'!$B$4:$B$18,MATCH(C297,'상품표'!$A$4:$A$18,0))="세트",IF(COUNTA(E297:G297)&lt;3,"세트 옵션 선택",IF(D297&lt;&gt;"","사이즈 불필요","OK")),IF(COUNTA(E297:G297)&gt;0,"세트 옵션은 세트만",IF(D297&lt;&gt;"","사이즈 불필요","OK"))))))))</f>
        <v/>
      </c>
      <c r="M297" s="44"/>
      <c r="N297" s="45"/>
    </row>
    <row r="298" ht="15.75" customHeight="1">
      <c r="A298" s="32">
        <v>293.0</v>
      </c>
      <c r="B298" s="33"/>
      <c r="C298" s="33"/>
      <c r="D298" s="33"/>
      <c r="E298" s="33"/>
      <c r="F298" s="33"/>
      <c r="G298" s="33"/>
      <c r="H298" s="33"/>
      <c r="I298" s="20" t="str">
        <f t="array" ref="I298">IF(C298="","",IFERROR(INDEX('상품표'!$C$4:$C$18,MATCH(C298,'상품표'!$A$4:$A$18,0)),""))</f>
        <v/>
      </c>
      <c r="J298" s="20" t="str">
        <f>IF(I298="","",ROUND(I298*(1-'상품표'!$G$4),0))</f>
        <v/>
      </c>
      <c r="K298" s="20" t="str">
        <f t="shared" si="1"/>
        <v/>
      </c>
      <c r="L298" s="32" t="str">
        <f t="array" ref="L298">IF(C298="","",IF(ISNA(MATCH(C298,'상품표'!$A$4:$A$18,0)),"상품명 확인",IF(H298="","수량 입력",IF(FALSE,"",IF(INDEX('상품표'!$B$4:$B$18,MATCH(C298,'상품표'!$A$4:$A$18,0))="의류",IF(D298="","사이즈 선택",IF(AND(LEFT(C298,4)="후드집업",OR(D298="XXS",D298="XS")),"후드는 S부터",IF(COUNTA(E298:G298)&gt;0,"세트 옵션은 세트만","OK"))),IF(INDEX('상품표'!$B$4:$B$18,MATCH(C298,'상품표'!$A$4:$A$18,0))="세트",IF(COUNTA(E298:G298)&lt;3,"세트 옵션 선택",IF(D298&lt;&gt;"","사이즈 불필요","OK")),IF(COUNTA(E298:G298)&gt;0,"세트 옵션은 세트만",IF(D298&lt;&gt;"","사이즈 불필요","OK"))))))))</f>
        <v/>
      </c>
      <c r="M298" s="44"/>
      <c r="N298" s="45"/>
    </row>
    <row r="299" ht="15.75" customHeight="1">
      <c r="A299" s="32">
        <v>294.0</v>
      </c>
      <c r="B299" s="33"/>
      <c r="C299" s="33"/>
      <c r="D299" s="33"/>
      <c r="E299" s="33"/>
      <c r="F299" s="33"/>
      <c r="G299" s="33"/>
      <c r="H299" s="33"/>
      <c r="I299" s="20" t="str">
        <f t="array" ref="I299">IF(C299="","",IFERROR(INDEX('상품표'!$C$4:$C$18,MATCH(C299,'상품표'!$A$4:$A$18,0)),""))</f>
        <v/>
      </c>
      <c r="J299" s="20" t="str">
        <f>IF(I299="","",ROUND(I299*(1-'상품표'!$G$4),0))</f>
        <v/>
      </c>
      <c r="K299" s="20" t="str">
        <f t="shared" si="1"/>
        <v/>
      </c>
      <c r="L299" s="32" t="str">
        <f t="array" ref="L299">IF(C299="","",IF(ISNA(MATCH(C299,'상품표'!$A$4:$A$18,0)),"상품명 확인",IF(H299="","수량 입력",IF(FALSE,"",IF(INDEX('상품표'!$B$4:$B$18,MATCH(C299,'상품표'!$A$4:$A$18,0))="의류",IF(D299="","사이즈 선택",IF(AND(LEFT(C299,4)="후드집업",OR(D299="XXS",D299="XS")),"후드는 S부터",IF(COUNTA(E299:G299)&gt;0,"세트 옵션은 세트만","OK"))),IF(INDEX('상품표'!$B$4:$B$18,MATCH(C299,'상품표'!$A$4:$A$18,0))="세트",IF(COUNTA(E299:G299)&lt;3,"세트 옵션 선택",IF(D299&lt;&gt;"","사이즈 불필요","OK")),IF(COUNTA(E299:G299)&gt;0,"세트 옵션은 세트만",IF(D299&lt;&gt;"","사이즈 불필요","OK"))))))))</f>
        <v/>
      </c>
      <c r="M299" s="44"/>
      <c r="N299" s="45"/>
    </row>
    <row r="300" ht="15.75" customHeight="1">
      <c r="A300" s="32">
        <v>295.0</v>
      </c>
      <c r="B300" s="33"/>
      <c r="C300" s="33"/>
      <c r="D300" s="33"/>
      <c r="E300" s="33"/>
      <c r="F300" s="33"/>
      <c r="G300" s="33"/>
      <c r="H300" s="33"/>
      <c r="I300" s="20" t="str">
        <f t="array" ref="I300">IF(C300="","",IFERROR(INDEX('상품표'!$C$4:$C$18,MATCH(C300,'상품표'!$A$4:$A$18,0)),""))</f>
        <v/>
      </c>
      <c r="J300" s="20" t="str">
        <f>IF(I300="","",ROUND(I300*(1-'상품표'!$G$4),0))</f>
        <v/>
      </c>
      <c r="K300" s="20" t="str">
        <f t="shared" si="1"/>
        <v/>
      </c>
      <c r="L300" s="32" t="str">
        <f t="array" ref="L300">IF(C300="","",IF(ISNA(MATCH(C300,'상품표'!$A$4:$A$18,0)),"상품명 확인",IF(H300="","수량 입력",IF(FALSE,"",IF(INDEX('상품표'!$B$4:$B$18,MATCH(C300,'상품표'!$A$4:$A$18,0))="의류",IF(D300="","사이즈 선택",IF(AND(LEFT(C300,4)="후드집업",OR(D300="XXS",D300="XS")),"후드는 S부터",IF(COUNTA(E300:G300)&gt;0,"세트 옵션은 세트만","OK"))),IF(INDEX('상품표'!$B$4:$B$18,MATCH(C300,'상품표'!$A$4:$A$18,0))="세트",IF(COUNTA(E300:G300)&lt;3,"세트 옵션 선택",IF(D300&lt;&gt;"","사이즈 불필요","OK")),IF(COUNTA(E300:G300)&gt;0,"세트 옵션은 세트만",IF(D300&lt;&gt;"","사이즈 불필요","OK"))))))))</f>
        <v/>
      </c>
      <c r="M300" s="44"/>
      <c r="N300" s="45"/>
    </row>
    <row r="301" ht="15.75" customHeight="1">
      <c r="A301" s="32">
        <v>296.0</v>
      </c>
      <c r="B301" s="33"/>
      <c r="C301" s="33"/>
      <c r="D301" s="33"/>
      <c r="E301" s="33"/>
      <c r="F301" s="33"/>
      <c r="G301" s="33"/>
      <c r="H301" s="33"/>
      <c r="I301" s="20" t="str">
        <f t="array" ref="I301">IF(C301="","",IFERROR(INDEX('상품표'!$C$4:$C$18,MATCH(C301,'상품표'!$A$4:$A$18,0)),""))</f>
        <v/>
      </c>
      <c r="J301" s="20" t="str">
        <f>IF(I301="","",ROUND(I301*(1-'상품표'!$G$4),0))</f>
        <v/>
      </c>
      <c r="K301" s="20" t="str">
        <f t="shared" si="1"/>
        <v/>
      </c>
      <c r="L301" s="32" t="str">
        <f t="array" ref="L301">IF(C301="","",IF(ISNA(MATCH(C301,'상품표'!$A$4:$A$18,0)),"상품명 확인",IF(H301="","수량 입력",IF(FALSE,"",IF(INDEX('상품표'!$B$4:$B$18,MATCH(C301,'상품표'!$A$4:$A$18,0))="의류",IF(D301="","사이즈 선택",IF(AND(LEFT(C301,4)="후드집업",OR(D301="XXS",D301="XS")),"후드는 S부터",IF(COUNTA(E301:G301)&gt;0,"세트 옵션은 세트만","OK"))),IF(INDEX('상품표'!$B$4:$B$18,MATCH(C301,'상품표'!$A$4:$A$18,0))="세트",IF(COUNTA(E301:G301)&lt;3,"세트 옵션 선택",IF(D301&lt;&gt;"","사이즈 불필요","OK")),IF(COUNTA(E301:G301)&gt;0,"세트 옵션은 세트만",IF(D301&lt;&gt;"","사이즈 불필요","OK"))))))))</f>
        <v/>
      </c>
      <c r="M301" s="44"/>
      <c r="N301" s="45"/>
    </row>
    <row r="302" ht="15.75" customHeight="1">
      <c r="A302" s="32">
        <v>297.0</v>
      </c>
      <c r="B302" s="33"/>
      <c r="C302" s="33"/>
      <c r="D302" s="33"/>
      <c r="E302" s="33"/>
      <c r="F302" s="33"/>
      <c r="G302" s="33"/>
      <c r="H302" s="33"/>
      <c r="I302" s="20" t="str">
        <f t="array" ref="I302">IF(C302="","",IFERROR(INDEX('상품표'!$C$4:$C$18,MATCH(C302,'상품표'!$A$4:$A$18,0)),""))</f>
        <v/>
      </c>
      <c r="J302" s="20" t="str">
        <f>IF(I302="","",ROUND(I302*(1-'상품표'!$G$4),0))</f>
        <v/>
      </c>
      <c r="K302" s="20" t="str">
        <f t="shared" si="1"/>
        <v/>
      </c>
      <c r="L302" s="32" t="str">
        <f t="array" ref="L302">IF(C302="","",IF(ISNA(MATCH(C302,'상품표'!$A$4:$A$18,0)),"상품명 확인",IF(H302="","수량 입력",IF(FALSE,"",IF(INDEX('상품표'!$B$4:$B$18,MATCH(C302,'상품표'!$A$4:$A$18,0))="의류",IF(D302="","사이즈 선택",IF(AND(LEFT(C302,4)="후드집업",OR(D302="XXS",D302="XS")),"후드는 S부터",IF(COUNTA(E302:G302)&gt;0,"세트 옵션은 세트만","OK"))),IF(INDEX('상품표'!$B$4:$B$18,MATCH(C302,'상품표'!$A$4:$A$18,0))="세트",IF(COUNTA(E302:G302)&lt;3,"세트 옵션 선택",IF(D302&lt;&gt;"","사이즈 불필요","OK")),IF(COUNTA(E302:G302)&gt;0,"세트 옵션은 세트만",IF(D302&lt;&gt;"","사이즈 불필요","OK"))))))))</f>
        <v/>
      </c>
      <c r="M302" s="44"/>
      <c r="N302" s="45"/>
    </row>
    <row r="303" ht="15.75" customHeight="1">
      <c r="A303" s="32">
        <v>298.0</v>
      </c>
      <c r="B303" s="33"/>
      <c r="C303" s="33"/>
      <c r="D303" s="33"/>
      <c r="E303" s="33"/>
      <c r="F303" s="33"/>
      <c r="G303" s="33"/>
      <c r="H303" s="33"/>
      <c r="I303" s="20" t="str">
        <f t="array" ref="I303">IF(C303="","",IFERROR(INDEX('상품표'!$C$4:$C$18,MATCH(C303,'상품표'!$A$4:$A$18,0)),""))</f>
        <v/>
      </c>
      <c r="J303" s="20" t="str">
        <f>IF(I303="","",ROUND(I303*(1-'상품표'!$G$4),0))</f>
        <v/>
      </c>
      <c r="K303" s="20" t="str">
        <f t="shared" si="1"/>
        <v/>
      </c>
      <c r="L303" s="32" t="str">
        <f t="array" ref="L303">IF(C303="","",IF(ISNA(MATCH(C303,'상품표'!$A$4:$A$18,0)),"상품명 확인",IF(H303="","수량 입력",IF(FALSE,"",IF(INDEX('상품표'!$B$4:$B$18,MATCH(C303,'상품표'!$A$4:$A$18,0))="의류",IF(D303="","사이즈 선택",IF(AND(LEFT(C303,4)="후드집업",OR(D303="XXS",D303="XS")),"후드는 S부터",IF(COUNTA(E303:G303)&gt;0,"세트 옵션은 세트만","OK"))),IF(INDEX('상품표'!$B$4:$B$18,MATCH(C303,'상품표'!$A$4:$A$18,0))="세트",IF(COUNTA(E303:G303)&lt;3,"세트 옵션 선택",IF(D303&lt;&gt;"","사이즈 불필요","OK")),IF(COUNTA(E303:G303)&gt;0,"세트 옵션은 세트만",IF(D303&lt;&gt;"","사이즈 불필요","OK"))))))))</f>
        <v/>
      </c>
      <c r="M303" s="44"/>
      <c r="N303" s="45"/>
    </row>
    <row r="304" ht="15.75" customHeight="1">
      <c r="A304" s="32">
        <v>299.0</v>
      </c>
      <c r="B304" s="33"/>
      <c r="C304" s="33"/>
      <c r="D304" s="33"/>
      <c r="E304" s="33"/>
      <c r="F304" s="33"/>
      <c r="G304" s="33"/>
      <c r="H304" s="33"/>
      <c r="I304" s="20" t="str">
        <f t="array" ref="I304">IF(C304="","",IFERROR(INDEX('상품표'!$C$4:$C$18,MATCH(C304,'상품표'!$A$4:$A$18,0)),""))</f>
        <v/>
      </c>
      <c r="J304" s="20" t="str">
        <f>IF(I304="","",ROUND(I304*(1-'상품표'!$G$4),0))</f>
        <v/>
      </c>
      <c r="K304" s="20" t="str">
        <f t="shared" si="1"/>
        <v/>
      </c>
      <c r="L304" s="32" t="str">
        <f t="array" ref="L304">IF(C304="","",IF(ISNA(MATCH(C304,'상품표'!$A$4:$A$18,0)),"상품명 확인",IF(H304="","수량 입력",IF(FALSE,"",IF(INDEX('상품표'!$B$4:$B$18,MATCH(C304,'상품표'!$A$4:$A$18,0))="의류",IF(D304="","사이즈 선택",IF(AND(LEFT(C304,4)="후드집업",OR(D304="XXS",D304="XS")),"후드는 S부터",IF(COUNTA(E304:G304)&gt;0,"세트 옵션은 세트만","OK"))),IF(INDEX('상품표'!$B$4:$B$18,MATCH(C304,'상품표'!$A$4:$A$18,0))="세트",IF(COUNTA(E304:G304)&lt;3,"세트 옵션 선택",IF(D304&lt;&gt;"","사이즈 불필요","OK")),IF(COUNTA(E304:G304)&gt;0,"세트 옵션은 세트만",IF(D304&lt;&gt;"","사이즈 불필요","OK"))))))))</f>
        <v/>
      </c>
      <c r="M304" s="44"/>
      <c r="N304" s="45"/>
    </row>
    <row r="305" ht="15.75" customHeight="1">
      <c r="A305" s="32">
        <v>300.0</v>
      </c>
      <c r="B305" s="33"/>
      <c r="C305" s="33"/>
      <c r="D305" s="33"/>
      <c r="E305" s="33"/>
      <c r="F305" s="33"/>
      <c r="G305" s="33"/>
      <c r="H305" s="33"/>
      <c r="I305" s="20" t="str">
        <f t="array" ref="I305">IF(C305="","",IFERROR(INDEX('상품표'!$C$4:$C$18,MATCH(C305,'상품표'!$A$4:$A$18,0)),""))</f>
        <v/>
      </c>
      <c r="J305" s="20" t="str">
        <f>IF(I305="","",ROUND(I305*(1-'상품표'!$G$4),0))</f>
        <v/>
      </c>
      <c r="K305" s="20" t="str">
        <f t="shared" si="1"/>
        <v/>
      </c>
      <c r="L305" s="32" t="str">
        <f t="array" ref="L305">IF(C305="","",IF(ISNA(MATCH(C305,'상품표'!$A$4:$A$18,0)),"상품명 확인",IF(H305="","수량 입력",IF(FALSE,"",IF(INDEX('상품표'!$B$4:$B$18,MATCH(C305,'상품표'!$A$4:$A$18,0))="의류",IF(D305="","사이즈 선택",IF(AND(LEFT(C305,4)="후드집업",OR(D305="XXS",D305="XS")),"후드는 S부터",IF(COUNTA(E305:G305)&gt;0,"세트 옵션은 세트만","OK"))),IF(INDEX('상품표'!$B$4:$B$18,MATCH(C305,'상품표'!$A$4:$A$18,0))="세트",IF(COUNTA(E305:G305)&lt;3,"세트 옵션 선택",IF(D305&lt;&gt;"","사이즈 불필요","OK")),IF(COUNTA(E305:G305)&gt;0,"세트 옵션은 세트만",IF(D305&lt;&gt;"","사이즈 불필요","OK"))))))))</f>
        <v/>
      </c>
      <c r="M305" s="44"/>
      <c r="N305" s="45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3:G3"/>
    <mergeCell ref="A2:N2"/>
  </mergeCells>
  <conditionalFormatting sqref="L6:L305">
    <cfRule type="expression" dxfId="0" priority="1">
      <formula>AND(L6&lt;&gt;"",L6&lt;&gt;"OK")</formula>
    </cfRule>
  </conditionalFormatting>
  <conditionalFormatting sqref="D6:D305">
    <cfRule type="expression" dxfId="1" priority="2">
      <formula>AND($C6&lt;&gt;"",NOT(OR(LEFT($C6,4)="후드집업",LEFT($C6,3)="그래픽")))</formula>
    </cfRule>
  </conditionalFormatting>
  <conditionalFormatting sqref="D6:D305">
    <cfRule type="expression" dxfId="2" priority="3">
      <formula>AND(OR(LEFT($C6,4)="후드집업",LEFT($C6,3)="그래픽"),$D6="")</formula>
    </cfRule>
  </conditionalFormatting>
  <conditionalFormatting sqref="E6:G305">
    <cfRule type="expression" dxfId="1" priority="4">
      <formula>AND($C6&lt;&gt;"",$C6&lt;&gt;"올인원 세트")</formula>
    </cfRule>
  </conditionalFormatting>
  <conditionalFormatting sqref="E6:G305">
    <cfRule type="expression" dxfId="2" priority="5">
      <formula>AND($C6="올인원 세트",E6="")</formula>
    </cfRule>
  </conditionalFormatting>
  <dataValidations>
    <dataValidation type="list" allowBlank="1" sqref="N6:N305">
      <formula1>"확인,명단 없음(정가 조정)"</formula1>
    </dataValidation>
    <dataValidation type="list" allowBlank="1" sqref="E6:E305">
      <formula1>"레드 웨이브,블랙 스탬프"</formula1>
    </dataValidation>
    <dataValidation type="list" allowBlank="1" sqref="F6:F305">
      <formula1>"블랙,화이트"</formula1>
    </dataValidation>
    <dataValidation type="list" allowBlank="1" sqref="G6:G305">
      <formula1>"1 스탬프,2 십자가"</formula1>
    </dataValidation>
    <dataValidation type="list" allowBlank="1" sqref="C6:C305">
      <formula1>'상품표'!$A$4:$A$18</formula1>
    </dataValidation>
    <dataValidation type="decimal" operator="greaterThan" allowBlank="1" sqref="H6:H305">
      <formula1>0.0</formula1>
    </dataValidation>
    <dataValidation type="list" allowBlank="1" sqref="D6:D305">
      <formula1>"XXS,XS,S,M,L,XL,2XL,3XL"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.0"/>
    <col customWidth="1" min="3" max="3" width="12.0"/>
    <col customWidth="1" min="4" max="4" width="18.43"/>
    <col customWidth="1" min="5" max="5" width="3.0"/>
    <col customWidth="1" min="6" max="6" width="26.0"/>
    <col customWidth="1" min="7" max="7" width="8.0"/>
    <col customWidth="1" min="8" max="26" width="8.71"/>
  </cols>
  <sheetData>
    <row r="1">
      <c r="A1" s="3" t="s">
        <v>3</v>
      </c>
    </row>
    <row r="3">
      <c r="A3" s="6" t="s">
        <v>5</v>
      </c>
      <c r="B3" s="6" t="s">
        <v>8</v>
      </c>
      <c r="C3" s="6" t="s">
        <v>9</v>
      </c>
      <c r="D3" s="16" t="s">
        <v>10</v>
      </c>
    </row>
    <row r="4">
      <c r="A4" s="19" t="s">
        <v>17</v>
      </c>
      <c r="B4" s="19" t="s">
        <v>23</v>
      </c>
      <c r="C4" s="20">
        <v>52000.0</v>
      </c>
      <c r="D4" s="20">
        <f t="shared" ref="D4:D18" si="1">ROUND(C4*(1-$G$4),0)</f>
        <v>46800</v>
      </c>
      <c r="F4" s="25" t="s">
        <v>34</v>
      </c>
      <c r="G4" s="27">
        <v>0.1</v>
      </c>
    </row>
    <row r="5">
      <c r="A5" s="19" t="s">
        <v>38</v>
      </c>
      <c r="B5" s="19" t="s">
        <v>23</v>
      </c>
      <c r="C5" s="20">
        <v>52000.0</v>
      </c>
      <c r="D5" s="20">
        <f t="shared" si="1"/>
        <v>46800</v>
      </c>
    </row>
    <row r="6">
      <c r="A6" s="19" t="s">
        <v>40</v>
      </c>
      <c r="B6" s="19" t="s">
        <v>23</v>
      </c>
      <c r="C6" s="20">
        <v>30000.0</v>
      </c>
      <c r="D6" s="20">
        <f t="shared" si="1"/>
        <v>27000</v>
      </c>
      <c r="F6" s="31" t="s">
        <v>42</v>
      </c>
    </row>
    <row r="7">
      <c r="A7" s="19" t="s">
        <v>49</v>
      </c>
      <c r="B7" s="19" t="s">
        <v>23</v>
      </c>
      <c r="C7" s="20">
        <v>30000.0</v>
      </c>
      <c r="D7" s="20">
        <f t="shared" si="1"/>
        <v>27000</v>
      </c>
      <c r="F7" s="34" t="s">
        <v>51</v>
      </c>
    </row>
    <row r="8">
      <c r="A8" s="19" t="s">
        <v>53</v>
      </c>
      <c r="B8" s="19" t="s">
        <v>54</v>
      </c>
      <c r="C8" s="20">
        <v>10000.0</v>
      </c>
      <c r="D8" s="20">
        <f t="shared" si="1"/>
        <v>9000</v>
      </c>
      <c r="F8" s="34" t="s">
        <v>55</v>
      </c>
    </row>
    <row r="9">
      <c r="A9" s="19" t="s">
        <v>56</v>
      </c>
      <c r="B9" s="19" t="s">
        <v>54</v>
      </c>
      <c r="C9" s="20">
        <v>10000.0</v>
      </c>
      <c r="D9" s="20">
        <f t="shared" si="1"/>
        <v>9000</v>
      </c>
      <c r="F9" s="34" t="s">
        <v>58</v>
      </c>
    </row>
    <row r="10">
      <c r="A10" s="19" t="s">
        <v>59</v>
      </c>
      <c r="B10" s="19" t="s">
        <v>54</v>
      </c>
      <c r="C10" s="20">
        <v>10000.0</v>
      </c>
      <c r="D10" s="20">
        <f t="shared" si="1"/>
        <v>9000</v>
      </c>
      <c r="F10" s="34" t="s">
        <v>60</v>
      </c>
    </row>
    <row r="11">
      <c r="A11" s="19" t="s">
        <v>61</v>
      </c>
      <c r="B11" s="19" t="s">
        <v>54</v>
      </c>
      <c r="C11" s="20">
        <v>10000.0</v>
      </c>
      <c r="D11" s="20">
        <f t="shared" si="1"/>
        <v>9000</v>
      </c>
      <c r="F11" s="34" t="s">
        <v>62</v>
      </c>
    </row>
    <row r="12">
      <c r="A12" s="19" t="s">
        <v>63</v>
      </c>
      <c r="B12" s="19" t="s">
        <v>64</v>
      </c>
      <c r="C12" s="20">
        <v>6000.0</v>
      </c>
      <c r="D12" s="20">
        <f t="shared" si="1"/>
        <v>5400</v>
      </c>
      <c r="F12" s="34" t="s">
        <v>65</v>
      </c>
    </row>
    <row r="13">
      <c r="A13" s="19" t="s">
        <v>66</v>
      </c>
      <c r="B13" s="19" t="s">
        <v>64</v>
      </c>
      <c r="C13" s="20">
        <v>5000.0</v>
      </c>
      <c r="D13" s="20">
        <f t="shared" si="1"/>
        <v>4500</v>
      </c>
    </row>
    <row r="14">
      <c r="A14" s="19" t="s">
        <v>67</v>
      </c>
      <c r="B14" s="19" t="s">
        <v>64</v>
      </c>
      <c r="C14" s="20">
        <v>5000.0</v>
      </c>
      <c r="D14" s="20">
        <f t="shared" si="1"/>
        <v>4500</v>
      </c>
    </row>
    <row r="15">
      <c r="A15" s="19" t="s">
        <v>69</v>
      </c>
      <c r="B15" s="19" t="s">
        <v>64</v>
      </c>
      <c r="C15" s="20">
        <v>4500.0</v>
      </c>
      <c r="D15" s="20">
        <f t="shared" si="1"/>
        <v>4050</v>
      </c>
    </row>
    <row r="16">
      <c r="A16" s="19" t="s">
        <v>74</v>
      </c>
      <c r="B16" s="19" t="s">
        <v>64</v>
      </c>
      <c r="C16" s="20">
        <v>4500.0</v>
      </c>
      <c r="D16" s="20">
        <f t="shared" si="1"/>
        <v>4050</v>
      </c>
    </row>
    <row r="17">
      <c r="A17" s="19" t="s">
        <v>77</v>
      </c>
      <c r="B17" s="19" t="s">
        <v>64</v>
      </c>
      <c r="C17" s="20">
        <v>3000.0</v>
      </c>
      <c r="D17" s="20">
        <f t="shared" si="1"/>
        <v>2700</v>
      </c>
    </row>
    <row r="18">
      <c r="A18" s="38" t="s">
        <v>19</v>
      </c>
      <c r="B18" s="38" t="s">
        <v>80</v>
      </c>
      <c r="C18" s="39">
        <v>32000.0</v>
      </c>
      <c r="D18" s="41">
        <f t="shared" si="1"/>
        <v>28800</v>
      </c>
    </row>
    <row r="20">
      <c r="A20" s="42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2026-10-15T09:46:51Z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